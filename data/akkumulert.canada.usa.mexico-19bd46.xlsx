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nus/Downloads/"/>
    </mc:Choice>
  </mc:AlternateContent>
  <xr:revisionPtr revIDLastSave="0" documentId="13_ncr:1_{43E3C41E-FECE-BC46-86F7-49F59BB3F7B8}" xr6:coauthVersionLast="47" xr6:coauthVersionMax="47" xr10:uidLastSave="{00000000-0000-0000-0000-000000000000}"/>
  <bookViews>
    <workbookView xWindow="0" yWindow="660" windowWidth="34560" windowHeight="19880" firstSheet="1" activeTab="1" xr2:uid="{AA784B3E-0B7F-4060-8DD0-D59F650724EC}"/>
  </bookViews>
  <sheets>
    <sheet name="FIFA World cup 2026" sheetId="1" r:id="rId1"/>
    <sheet name="Sammendrag" sheetId="18" r:id="rId2"/>
    <sheet name="Ark1" sheetId="2" r:id="rId3"/>
    <sheet name="Ahilan" sheetId="3" r:id="rId4"/>
    <sheet name="Haakon" sheetId="4" r:id="rId5"/>
    <sheet name="AI" sheetId="5" r:id="rId6"/>
    <sheet name="Jardar" sheetId="6" r:id="rId7"/>
    <sheet name="Kari" sheetId="7" r:id="rId8"/>
    <sheet name="Knut" sheetId="8" r:id="rId9"/>
    <sheet name="Leif Anders" sheetId="9" r:id="rId10"/>
    <sheet name="Magnus" sheetId="10" r:id="rId11"/>
    <sheet name="Malin" sheetId="11" r:id="rId12"/>
    <sheet name="Marit" sheetId="12" r:id="rId13"/>
    <sheet name="Trude" sheetId="13" r:id="rId14"/>
    <sheet name="Vidar" sheetId="14" r:id="rId15"/>
    <sheet name="Øystein" sheetId="15" r:id="rId16"/>
    <sheet name="Ådne" sheetId="16" r:id="rId17"/>
    <sheet name="Data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8" l="1"/>
  <c r="C37" i="18"/>
  <c r="D35" i="18"/>
  <c r="C35" i="18"/>
  <c r="D34" i="18"/>
  <c r="C34" i="18"/>
  <c r="D33" i="18"/>
  <c r="C33" i="18"/>
  <c r="D29" i="18" a="1"/>
  <c r="D29" i="18" s="1"/>
  <c r="C29" i="18" a="1"/>
  <c r="C29" i="18" s="1"/>
  <c r="D28" i="18" a="1"/>
  <c r="D28" i="18" s="1"/>
  <c r="C28" i="18" a="1"/>
  <c r="C28" i="18" s="1"/>
  <c r="D27" i="18" a="1"/>
  <c r="D27" i="18" s="1"/>
  <c r="C27" i="18" a="1"/>
  <c r="C27" i="18" s="1"/>
  <c r="D26" i="18" a="1"/>
  <c r="D26" i="18" s="1"/>
  <c r="C26" i="18" a="1"/>
  <c r="C26" i="18" s="1"/>
  <c r="D25" i="18" a="1"/>
  <c r="D25" i="18" s="1"/>
  <c r="C25" i="18" a="1"/>
  <c r="C25" i="18" s="1"/>
  <c r="D24" i="18" a="1"/>
  <c r="D24" i="18" s="1"/>
  <c r="C24" i="18" a="1"/>
  <c r="C24" i="18" s="1"/>
  <c r="D23" i="18" a="1"/>
  <c r="D23" i="18" s="1"/>
  <c r="C23" i="18" a="1"/>
  <c r="C23" i="18" s="1"/>
  <c r="D22" i="18" a="1"/>
  <c r="D22" i="18" s="1"/>
  <c r="C22" i="18" a="1"/>
  <c r="C22" i="18" s="1"/>
  <c r="G18" i="18"/>
  <c r="F18" i="18"/>
  <c r="E18" i="18"/>
  <c r="D18" i="18"/>
  <c r="C18" i="18"/>
  <c r="G17" i="18"/>
  <c r="F17" i="18"/>
  <c r="E17" i="18"/>
  <c r="D17" i="18"/>
  <c r="C17" i="18"/>
  <c r="G16" i="18"/>
  <c r="F16" i="18"/>
  <c r="E16" i="18"/>
  <c r="D16" i="18"/>
  <c r="C16" i="18"/>
  <c r="G15" i="18"/>
  <c r="F15" i="18"/>
  <c r="E15" i="18"/>
  <c r="D15" i="18"/>
  <c r="C15" i="18"/>
  <c r="G14" i="18"/>
  <c r="F14" i="18"/>
  <c r="E14" i="18"/>
  <c r="D14" i="18"/>
  <c r="C14" i="18"/>
  <c r="G13" i="18"/>
  <c r="F13" i="18"/>
  <c r="E13" i="18"/>
  <c r="D13" i="18"/>
  <c r="C13" i="18"/>
  <c r="G12" i="18"/>
  <c r="F12" i="18"/>
  <c r="E12" i="18"/>
  <c r="D12" i="18"/>
  <c r="C12" i="18"/>
  <c r="G11" i="18"/>
  <c r="F11" i="18"/>
  <c r="E11" i="18"/>
  <c r="D11" i="18"/>
  <c r="C11" i="18"/>
  <c r="G10" i="18"/>
  <c r="F10" i="18"/>
  <c r="E10" i="18"/>
  <c r="D10" i="18"/>
  <c r="C10" i="18"/>
  <c r="G9" i="18"/>
  <c r="F9" i="18"/>
  <c r="E9" i="18"/>
  <c r="D9" i="18"/>
  <c r="C9" i="18"/>
  <c r="B2" i="17"/>
  <c r="C2" i="17"/>
  <c r="D2" i="17"/>
  <c r="W2" i="17" s="1"/>
  <c r="E2" i="17"/>
  <c r="F2" i="17"/>
  <c r="G2" i="17"/>
  <c r="X2" i="17" s="1"/>
  <c r="H2" i="17"/>
  <c r="Y2" i="17" s="1"/>
  <c r="I2" i="17"/>
  <c r="J2" i="17"/>
  <c r="Z2" i="17" s="1"/>
  <c r="K2" i="17"/>
  <c r="L2" i="17"/>
  <c r="M2" i="17"/>
  <c r="N2" i="17"/>
  <c r="O2" i="17"/>
  <c r="P2" i="17"/>
  <c r="Q2" i="17"/>
  <c r="AC2" i="17" s="1"/>
  <c r="R2" i="17"/>
  <c r="AD2" i="17" s="1"/>
  <c r="S2" i="17"/>
  <c r="T2" i="17"/>
  <c r="U2" i="17"/>
  <c r="V2" i="17"/>
  <c r="AA2" i="17"/>
  <c r="AB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B3" i="17"/>
  <c r="C3" i="17"/>
  <c r="D3" i="17"/>
  <c r="W3" i="17" s="1"/>
  <c r="E3" i="17"/>
  <c r="F3" i="17"/>
  <c r="X3" i="17" s="1"/>
  <c r="G3" i="17"/>
  <c r="H3" i="17"/>
  <c r="Y3" i="17" s="1"/>
  <c r="I3" i="17"/>
  <c r="J3" i="17"/>
  <c r="Z3" i="17" s="1"/>
  <c r="K3" i="17"/>
  <c r="L3" i="17"/>
  <c r="M3" i="17"/>
  <c r="N3" i="17"/>
  <c r="O3" i="17"/>
  <c r="P3" i="17"/>
  <c r="Q3" i="17"/>
  <c r="AC3" i="17" s="1"/>
  <c r="R3" i="17"/>
  <c r="S3" i="17"/>
  <c r="T3" i="17"/>
  <c r="U3" i="17"/>
  <c r="AE3" i="17" s="1"/>
  <c r="V3" i="17"/>
  <c r="AA3" i="17"/>
  <c r="AB3" i="17"/>
  <c r="AD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B4" i="17"/>
  <c r="C4" i="17"/>
  <c r="V4" i="17" s="1"/>
  <c r="D4" i="17"/>
  <c r="W4" i="17" s="1"/>
  <c r="E4" i="17"/>
  <c r="F4" i="17"/>
  <c r="G4" i="17"/>
  <c r="X4" i="17" s="1"/>
  <c r="H4" i="17"/>
  <c r="Y4" i="17" s="1"/>
  <c r="I4" i="17"/>
  <c r="J4" i="17"/>
  <c r="Z4" i="17" s="1"/>
  <c r="K4" i="17"/>
  <c r="L4" i="17"/>
  <c r="M4" i="17"/>
  <c r="N4" i="17"/>
  <c r="O4" i="17"/>
  <c r="P4" i="17"/>
  <c r="Q4" i="17"/>
  <c r="R4" i="17"/>
  <c r="S4" i="17"/>
  <c r="T4" i="17"/>
  <c r="U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B5" i="17"/>
  <c r="C5" i="17"/>
  <c r="V5" i="17" s="1"/>
  <c r="D5" i="17"/>
  <c r="W5" i="17" s="1"/>
  <c r="E5" i="17"/>
  <c r="F5" i="17"/>
  <c r="X5" i="17" s="1"/>
  <c r="G5" i="17"/>
  <c r="H5" i="17"/>
  <c r="Y5" i="17" s="1"/>
  <c r="I5" i="17"/>
  <c r="J5" i="17"/>
  <c r="K5" i="17"/>
  <c r="L5" i="17"/>
  <c r="M5" i="17"/>
  <c r="N5" i="17"/>
  <c r="O5" i="17"/>
  <c r="P5" i="17"/>
  <c r="Q5" i="17"/>
  <c r="R5" i="17"/>
  <c r="AD5" i="17" s="1"/>
  <c r="S5" i="17"/>
  <c r="T5" i="17"/>
  <c r="U5" i="17"/>
  <c r="Z5" i="17"/>
  <c r="AA5" i="17"/>
  <c r="AB5" i="17"/>
  <c r="AC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B6" i="17"/>
  <c r="C6" i="17"/>
  <c r="V6" i="17" s="1"/>
  <c r="D6" i="17"/>
  <c r="W6" i="17" s="1"/>
  <c r="E6" i="17"/>
  <c r="F6" i="17"/>
  <c r="X6" i="17" s="1"/>
  <c r="G6" i="17"/>
  <c r="H6" i="17"/>
  <c r="I6" i="17"/>
  <c r="J6" i="17"/>
  <c r="K6" i="17"/>
  <c r="L6" i="17"/>
  <c r="AA6" i="17" s="1"/>
  <c r="M6" i="17"/>
  <c r="N6" i="17"/>
  <c r="AB6" i="17" s="1"/>
  <c r="O6" i="17"/>
  <c r="P6" i="17"/>
  <c r="AC6" i="17" s="1"/>
  <c r="Q6" i="17"/>
  <c r="R6" i="17"/>
  <c r="AD6" i="17" s="1"/>
  <c r="S6" i="17"/>
  <c r="T6" i="17"/>
  <c r="U6" i="17"/>
  <c r="Y6" i="17"/>
  <c r="Z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B7" i="17"/>
  <c r="C7" i="17"/>
  <c r="V7" i="17" s="1"/>
  <c r="D7" i="17"/>
  <c r="E7" i="17"/>
  <c r="F7" i="17"/>
  <c r="G7" i="17"/>
  <c r="X7" i="17" s="1"/>
  <c r="H7" i="17"/>
  <c r="Y7" i="17" s="1"/>
  <c r="I7" i="17"/>
  <c r="J7" i="17"/>
  <c r="Z7" i="17" s="1"/>
  <c r="K7" i="17"/>
  <c r="L7" i="17"/>
  <c r="AA7" i="17" s="1"/>
  <c r="M7" i="17"/>
  <c r="N7" i="17"/>
  <c r="O7" i="17"/>
  <c r="P7" i="17"/>
  <c r="Q7" i="17"/>
  <c r="R7" i="17"/>
  <c r="S7" i="17"/>
  <c r="T7" i="17"/>
  <c r="U7" i="17"/>
  <c r="W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B8" i="17"/>
  <c r="C8" i="17"/>
  <c r="D8" i="17"/>
  <c r="W8" i="17" s="1"/>
  <c r="E8" i="17"/>
  <c r="F8" i="17"/>
  <c r="X8" i="17" s="1"/>
  <c r="G8" i="17"/>
  <c r="H8" i="17"/>
  <c r="Y8" i="17" s="1"/>
  <c r="I8" i="17"/>
  <c r="J8" i="17"/>
  <c r="Z8" i="17" s="1"/>
  <c r="K8" i="17"/>
  <c r="L8" i="17"/>
  <c r="M8" i="17"/>
  <c r="N8" i="17"/>
  <c r="O8" i="17"/>
  <c r="P8" i="17"/>
  <c r="Q8" i="17"/>
  <c r="R8" i="17"/>
  <c r="S8" i="17"/>
  <c r="T8" i="17"/>
  <c r="AE8" i="17" s="1"/>
  <c r="U8" i="17"/>
  <c r="V8" i="17"/>
  <c r="AA8" i="17"/>
  <c r="AB8" i="17"/>
  <c r="AC8" i="17"/>
  <c r="AD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B9" i="17"/>
  <c r="C9" i="17"/>
  <c r="V9" i="17" s="1"/>
  <c r="D9" i="17"/>
  <c r="W9" i="17" s="1"/>
  <c r="E9" i="17"/>
  <c r="F9" i="17"/>
  <c r="X9" i="17" s="1"/>
  <c r="G9" i="17"/>
  <c r="H9" i="17"/>
  <c r="I9" i="17"/>
  <c r="J9" i="17"/>
  <c r="K9" i="17"/>
  <c r="L9" i="17"/>
  <c r="M9" i="17"/>
  <c r="N9" i="17"/>
  <c r="AB9" i="17" s="1"/>
  <c r="O9" i="17"/>
  <c r="P9" i="17"/>
  <c r="AC9" i="17" s="1"/>
  <c r="Q9" i="17"/>
  <c r="R9" i="17"/>
  <c r="AD9" i="17" s="1"/>
  <c r="S9" i="17"/>
  <c r="T9" i="17"/>
  <c r="U9" i="17"/>
  <c r="Y9" i="17"/>
  <c r="Z9" i="17"/>
  <c r="AA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B10" i="17"/>
  <c r="C10" i="17"/>
  <c r="V10" i="17" s="1"/>
  <c r="D10" i="17"/>
  <c r="W10" i="17" s="1"/>
  <c r="E10" i="17"/>
  <c r="F10" i="17"/>
  <c r="G10" i="17"/>
  <c r="H10" i="17"/>
  <c r="Y10" i="17" s="1"/>
  <c r="I10" i="17"/>
  <c r="J10" i="17"/>
  <c r="Z10" i="17" s="1"/>
  <c r="K10" i="17"/>
  <c r="L10" i="17"/>
  <c r="AA10" i="17" s="1"/>
  <c r="M10" i="17"/>
  <c r="N10" i="17"/>
  <c r="AB10" i="17" s="1"/>
  <c r="O10" i="17"/>
  <c r="P10" i="17"/>
  <c r="Q10" i="17"/>
  <c r="R10" i="17"/>
  <c r="S10" i="17"/>
  <c r="T10" i="17"/>
  <c r="U10" i="17"/>
  <c r="X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B11" i="17"/>
  <c r="C11" i="17"/>
  <c r="V11" i="17" s="1"/>
  <c r="D11" i="17"/>
  <c r="E11" i="17"/>
  <c r="F11" i="17"/>
  <c r="X11" i="17" s="1"/>
  <c r="G11" i="17"/>
  <c r="H11" i="17"/>
  <c r="Y11" i="17" s="1"/>
  <c r="I11" i="17"/>
  <c r="J11" i="17"/>
  <c r="Z11" i="17" s="1"/>
  <c r="K11" i="17"/>
  <c r="L11" i="17"/>
  <c r="M11" i="17"/>
  <c r="N11" i="17"/>
  <c r="O11" i="17"/>
  <c r="P11" i="17"/>
  <c r="Q11" i="17"/>
  <c r="R11" i="17"/>
  <c r="S11" i="17"/>
  <c r="T11" i="17"/>
  <c r="U11" i="17"/>
  <c r="W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B12" i="17"/>
  <c r="C12" i="17"/>
  <c r="V12" i="17" s="1"/>
  <c r="D12" i="17"/>
  <c r="W12" i="17" s="1"/>
  <c r="E12" i="17"/>
  <c r="F12" i="17"/>
  <c r="X12" i="17" s="1"/>
  <c r="G12" i="17"/>
  <c r="H12" i="17"/>
  <c r="Y12" i="17" s="1"/>
  <c r="I12" i="17"/>
  <c r="J12" i="17"/>
  <c r="K12" i="17"/>
  <c r="L12" i="17"/>
  <c r="M12" i="17"/>
  <c r="N12" i="17"/>
  <c r="O12" i="17"/>
  <c r="P12" i="17"/>
  <c r="AC12" i="17" s="1"/>
  <c r="Q12" i="17"/>
  <c r="R12" i="17"/>
  <c r="AD12" i="17" s="1"/>
  <c r="S12" i="17"/>
  <c r="T12" i="17"/>
  <c r="AE12" i="17" s="1"/>
  <c r="U12" i="17"/>
  <c r="Z12" i="17"/>
  <c r="AA12" i="17"/>
  <c r="AB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B13" i="17"/>
  <c r="C13" i="17"/>
  <c r="V13" i="17" s="1"/>
  <c r="D13" i="17"/>
  <c r="W13" i="17" s="1"/>
  <c r="E13" i="17"/>
  <c r="F13" i="17"/>
  <c r="G13" i="17"/>
  <c r="H13" i="17"/>
  <c r="I13" i="17"/>
  <c r="J13" i="17"/>
  <c r="Z13" i="17" s="1"/>
  <c r="K13" i="17"/>
  <c r="L13" i="17"/>
  <c r="AA13" i="17" s="1"/>
  <c r="M13" i="17"/>
  <c r="N13" i="17"/>
  <c r="AB13" i="17" s="1"/>
  <c r="O13" i="17"/>
  <c r="P13" i="17"/>
  <c r="Q13" i="17"/>
  <c r="AC13" i="17" s="1"/>
  <c r="R13" i="17"/>
  <c r="S13" i="17"/>
  <c r="T13" i="17"/>
  <c r="U13" i="17"/>
  <c r="X13" i="17"/>
  <c r="Y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B14" i="17"/>
  <c r="C14" i="17"/>
  <c r="D14" i="17"/>
  <c r="W14" i="17" s="1"/>
  <c r="E14" i="17"/>
  <c r="F14" i="17"/>
  <c r="G14" i="17"/>
  <c r="X14" i="17" s="1"/>
  <c r="H14" i="17"/>
  <c r="Y14" i="17" s="1"/>
  <c r="I14" i="17"/>
  <c r="J14" i="17"/>
  <c r="Z14" i="17" s="1"/>
  <c r="K14" i="17"/>
  <c r="L14" i="17"/>
  <c r="AA14" i="17" s="1"/>
  <c r="M14" i="17"/>
  <c r="N14" i="17"/>
  <c r="O14" i="17"/>
  <c r="P14" i="17"/>
  <c r="Q14" i="17"/>
  <c r="R14" i="17"/>
  <c r="S14" i="17"/>
  <c r="T14" i="17"/>
  <c r="U14" i="17"/>
  <c r="V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B15" i="17"/>
  <c r="C15" i="17"/>
  <c r="V15" i="17" s="1"/>
  <c r="D15" i="17"/>
  <c r="W15" i="17" s="1"/>
  <c r="E15" i="17"/>
  <c r="F15" i="17"/>
  <c r="X15" i="17" s="1"/>
  <c r="G15" i="17"/>
  <c r="H15" i="17"/>
  <c r="Y15" i="17" s="1"/>
  <c r="I15" i="17"/>
  <c r="J15" i="17"/>
  <c r="K15" i="17"/>
  <c r="L15" i="17"/>
  <c r="M15" i="17"/>
  <c r="N15" i="17"/>
  <c r="O15" i="17"/>
  <c r="P15" i="17"/>
  <c r="Q15" i="17"/>
  <c r="R15" i="17"/>
  <c r="AD15" i="17" s="1"/>
  <c r="S15" i="17"/>
  <c r="T15" i="17"/>
  <c r="U15" i="17"/>
  <c r="Z15" i="17"/>
  <c r="AA15" i="17"/>
  <c r="AB15" i="17"/>
  <c r="AC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19" i="2"/>
  <c r="A31" i="2"/>
  <c r="A32" i="2"/>
  <c r="A33" i="2"/>
  <c r="A34" i="2"/>
  <c r="A35" i="2"/>
  <c r="A36" i="2"/>
  <c r="A37" i="2"/>
  <c r="A43" i="2"/>
  <c r="A41" i="2"/>
  <c r="A23" i="2"/>
  <c r="A24" i="2"/>
  <c r="A25" i="2"/>
  <c r="A26" i="2"/>
  <c r="A27" i="2"/>
  <c r="A28" i="2"/>
  <c r="A29" i="2"/>
  <c r="A12" i="2"/>
  <c r="A13" i="2"/>
  <c r="A14" i="2"/>
  <c r="A15" i="2"/>
  <c r="A16" i="2"/>
  <c r="A17" i="2"/>
  <c r="A18" i="2"/>
  <c r="A9" i="2"/>
  <c r="A10" i="2"/>
  <c r="A11" i="2"/>
  <c r="A21" i="2"/>
  <c r="A22" i="2"/>
  <c r="A39" i="2"/>
  <c r="A40" i="2"/>
  <c r="A44" i="2"/>
  <c r="A45" i="2"/>
  <c r="A46" i="2"/>
  <c r="A47" i="2"/>
  <c r="A48" i="2"/>
  <c r="A49" i="2"/>
  <c r="A50" i="2"/>
  <c r="A51" i="2"/>
  <c r="A52" i="2"/>
  <c r="A42" i="2"/>
  <c r="A55" i="2"/>
  <c r="A56" i="2"/>
  <c r="A57" i="2"/>
  <c r="A58" i="2"/>
  <c r="A59" i="2"/>
  <c r="A60" i="2"/>
  <c r="A8" i="2"/>
  <c r="B6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<sst xmlns="http://schemas.openxmlformats.org/spreadsheetml/2006/main" count="2391" uniqueCount="266">
  <si>
    <t>Gruppene:</t>
  </si>
  <si>
    <t>A:</t>
  </si>
  <si>
    <t>B:</t>
  </si>
  <si>
    <t>C:</t>
  </si>
  <si>
    <t>D:</t>
  </si>
  <si>
    <t>E:</t>
  </si>
  <si>
    <t>F:</t>
  </si>
  <si>
    <t>G:</t>
  </si>
  <si>
    <t>H:</t>
  </si>
  <si>
    <t>Qatar</t>
  </si>
  <si>
    <t>England</t>
  </si>
  <si>
    <t>Argentina</t>
  </si>
  <si>
    <t>Portugal</t>
  </si>
  <si>
    <t>Ecuador</t>
  </si>
  <si>
    <t>Iran</t>
  </si>
  <si>
    <t>Canada</t>
  </si>
  <si>
    <t>Ghana</t>
  </si>
  <si>
    <t>Senegal</t>
  </si>
  <si>
    <t>USA</t>
  </si>
  <si>
    <t>Mexico</t>
  </si>
  <si>
    <t>Tunisia</t>
  </si>
  <si>
    <t>Japan</t>
  </si>
  <si>
    <t>Uruguay</t>
  </si>
  <si>
    <t>Australia</t>
  </si>
  <si>
    <t>Gruppespillet:</t>
  </si>
  <si>
    <t>(Tipp sluttresultat i kampene. Rett resultat - H/U/B - gir 1 poeng, rett målscore gir 1 poeng)</t>
  </si>
  <si>
    <t>-</t>
  </si>
  <si>
    <t>(Tipp sluttresultater i gruppene, 2 poeng for hvert rett svar)</t>
  </si>
  <si>
    <t>Hvem blir toer i gruppe B?</t>
  </si>
  <si>
    <t>Hvem blir vinner i gruppe F?</t>
  </si>
  <si>
    <t>Hvilke 8 land går videre til kvartfinaler? Fyll inn</t>
  </si>
  <si>
    <t>Lag 1:</t>
  </si>
  <si>
    <t>Lag 2:</t>
  </si>
  <si>
    <t>Lag 3:</t>
  </si>
  <si>
    <t>Lag 4:</t>
  </si>
  <si>
    <t>Lag 5:</t>
  </si>
  <si>
    <t>Lag 6:</t>
  </si>
  <si>
    <t>Lag 7:</t>
  </si>
  <si>
    <t>Lag 8:</t>
  </si>
  <si>
    <t>(2 poeng for hvert rett svar)</t>
  </si>
  <si>
    <t>Finalen:</t>
  </si>
  <si>
    <r>
      <t xml:space="preserve">Hva er målscore etter 90 min i finalen? </t>
    </r>
    <r>
      <rPr>
        <i/>
        <sz val="12"/>
        <color rgb="FF222222"/>
        <rFont val="Arial"/>
        <family val="2"/>
      </rPr>
      <t>(3 poeng)</t>
    </r>
  </si>
  <si>
    <r>
      <t xml:space="preserve">Hvem blir verdensmester? </t>
    </r>
    <r>
      <rPr>
        <i/>
        <sz val="12"/>
        <color rgb="FF222222"/>
        <rFont val="Arial"/>
        <family val="2"/>
      </rPr>
      <t>(5 poeng)</t>
    </r>
  </si>
  <si>
    <r>
      <t xml:space="preserve">Fra hvilket land kommer VMs toppscorer? </t>
    </r>
    <r>
      <rPr>
        <i/>
        <sz val="12"/>
        <color rgb="FF222222"/>
        <rFont val="Arial"/>
        <family val="2"/>
      </rPr>
      <t>(3 poeng)</t>
    </r>
  </si>
  <si>
    <t>Poeng</t>
  </si>
  <si>
    <t>Frankrike</t>
  </si>
  <si>
    <t>Tyskland</t>
  </si>
  <si>
    <t>Belgia</t>
  </si>
  <si>
    <t>Brasil</t>
  </si>
  <si>
    <t>Spania</t>
  </si>
  <si>
    <t>Nederland</t>
  </si>
  <si>
    <t>Kroatia</t>
  </si>
  <si>
    <t>Sveits</t>
  </si>
  <si>
    <t>Marokko</t>
  </si>
  <si>
    <t>I:</t>
  </si>
  <si>
    <t>J:</t>
  </si>
  <si>
    <t>K:</t>
  </si>
  <si>
    <t>L:</t>
  </si>
  <si>
    <t>Haiti</t>
  </si>
  <si>
    <t>"Av alle uviktige ting i verden er fotball den aller viktigste" (pave Johannes Paul II)</t>
  </si>
  <si>
    <t>Curacao</t>
  </si>
  <si>
    <t>Egypt</t>
  </si>
  <si>
    <t>New Zealand</t>
  </si>
  <si>
    <t>Jordan</t>
  </si>
  <si>
    <t>Paraguay</t>
  </si>
  <si>
    <t>Colombia</t>
  </si>
  <si>
    <t>Panama</t>
  </si>
  <si>
    <t>Sør-Afrika</t>
  </si>
  <si>
    <t>Sør-Korea</t>
  </si>
  <si>
    <t>Tsjekkia</t>
  </si>
  <si>
    <t>Bosnia-Herceg.</t>
  </si>
  <si>
    <t>Skottland</t>
  </si>
  <si>
    <t>Tyrkia</t>
  </si>
  <si>
    <t>Elfenbenskysten</t>
  </si>
  <si>
    <t>Sverige</t>
  </si>
  <si>
    <t>Saudi-Arabia</t>
  </si>
  <si>
    <t>Kapp Verde</t>
  </si>
  <si>
    <t>Norge</t>
  </si>
  <si>
    <t>Irak</t>
  </si>
  <si>
    <t>Østerrike</t>
  </si>
  <si>
    <t>Algerie</t>
  </si>
  <si>
    <t>Usbekistan</t>
  </si>
  <si>
    <t>DR Kongo</t>
  </si>
  <si>
    <r>
      <t xml:space="preserve">Gruppe A: Torsdag 11.06.2026 21:00  </t>
    </r>
    <r>
      <rPr>
        <b/>
        <sz val="12"/>
        <color rgb="FF222222"/>
        <rFont val="Arial"/>
        <family val="2"/>
      </rPr>
      <t>Mexico - Sør-Afrika</t>
    </r>
  </si>
  <si>
    <r>
      <t xml:space="preserve">Gruppe C: Søndag 14.06.2026 00:00  </t>
    </r>
    <r>
      <rPr>
        <b/>
        <sz val="12"/>
        <color rgb="FF222222"/>
        <rFont val="Arial"/>
        <family val="2"/>
      </rPr>
      <t>Brasil - Marokko</t>
    </r>
  </si>
  <si>
    <r>
      <t xml:space="preserve">Gruppe L: Onsdag 17.06.2026 22:00  </t>
    </r>
    <r>
      <rPr>
        <b/>
        <sz val="12"/>
        <color rgb="FF222222"/>
        <rFont val="Arial"/>
        <family val="2"/>
      </rPr>
      <t>England - Kroatia</t>
    </r>
  </si>
  <si>
    <r>
      <t xml:space="preserve">Gruppe F: Lørdag 20.06.2026 19:00  </t>
    </r>
    <r>
      <rPr>
        <b/>
        <sz val="12"/>
        <color rgb="FF222222"/>
        <rFont val="Arial"/>
        <family val="2"/>
      </rPr>
      <t>Nederland - Sverige</t>
    </r>
  </si>
  <si>
    <r>
      <t xml:space="preserve">Gruppe I: Tirsdag 23.06.2026 02:00  </t>
    </r>
    <r>
      <rPr>
        <b/>
        <sz val="12"/>
        <color rgb="FF222222"/>
        <rFont val="Arial"/>
        <family val="2"/>
      </rPr>
      <t>Norge - Senegal</t>
    </r>
  </si>
  <si>
    <r>
      <t xml:space="preserve">Gruppe I: Fredag 26.06.2026 21:00  </t>
    </r>
    <r>
      <rPr>
        <b/>
        <sz val="12"/>
        <color rgb="FF222222"/>
        <rFont val="Arial"/>
        <family val="2"/>
      </rPr>
      <t>Norge - Frankrike</t>
    </r>
  </si>
  <si>
    <r>
      <t xml:space="preserve">Gruppe K: Lørdag 27.06.2026 02:00  </t>
    </r>
    <r>
      <rPr>
        <b/>
        <sz val="12"/>
        <color rgb="FF222222"/>
        <rFont val="Arial"/>
        <family val="2"/>
      </rPr>
      <t>Colombia - Portugal</t>
    </r>
  </si>
  <si>
    <t>Finalespillet:</t>
  </si>
  <si>
    <t>Hvor mange europeiske lag går til sekstendedelsfinale?</t>
  </si>
  <si>
    <t>Hvilke av vertsnasjonene går videre til åttendedelsfinale?</t>
  </si>
  <si>
    <t>Norge:</t>
  </si>
  <si>
    <r>
      <t xml:space="preserve">Gruppe H: Mandag 15.06.2026 18:00 </t>
    </r>
    <r>
      <rPr>
        <b/>
        <sz val="12"/>
        <color rgb="FF222222"/>
        <rFont val="Arial"/>
        <family val="2"/>
      </rPr>
      <t xml:space="preserve"> Spania - Kapp Verde</t>
    </r>
  </si>
  <si>
    <r>
      <t xml:space="preserve">Gruppe J: Tirsdag 17.06.2026 03:00  </t>
    </r>
    <r>
      <rPr>
        <b/>
        <sz val="12"/>
        <color rgb="FF222222"/>
        <rFont val="Arial"/>
        <family val="2"/>
      </rPr>
      <t>Argentina - Algerie</t>
    </r>
  </si>
  <si>
    <r>
      <t xml:space="preserve">Gruppe E: Torsdag 25.06.2026 22:00  </t>
    </r>
    <r>
      <rPr>
        <b/>
        <sz val="12"/>
        <color rgb="FF222222"/>
        <rFont val="Arial"/>
        <family val="2"/>
      </rPr>
      <t>Ecuador - Tyskland</t>
    </r>
  </si>
  <si>
    <t>Hvem blir vinner i gruppe A?</t>
  </si>
  <si>
    <t>Hvem blir vinner i gruppe D?</t>
  </si>
  <si>
    <t>Hvem blir vinner i gruppe G?</t>
  </si>
  <si>
    <t>Hvem blir toer i gruppe I?</t>
  </si>
  <si>
    <t>Hvem blir Norges toppscorer? (Kryss av)</t>
  </si>
  <si>
    <t>Haaland:</t>
  </si>
  <si>
    <t>Sørloth:</t>
  </si>
  <si>
    <t>Like langt:</t>
  </si>
  <si>
    <t>En annen:</t>
  </si>
  <si>
    <t>Kommer Norge til å slippe inn 4 mål eller mer i gruppespillet? (J/N)</t>
  </si>
  <si>
    <r>
      <t xml:space="preserve">Hvilke 2 lag møtes i finalen? </t>
    </r>
    <r>
      <rPr>
        <i/>
        <sz val="12"/>
        <color rgb="FF222222"/>
        <rFont val="Arial"/>
        <family val="2"/>
      </rPr>
      <t>(4 poeng)</t>
    </r>
  </si>
  <si>
    <t>(2 poeng for ene laget rett)</t>
  </si>
  <si>
    <t>Går Sverige videre fra gruppespillet? (J/N)</t>
  </si>
  <si>
    <t>Kommer Norge til å score 7 mål eller mer i gruppespillet? (J/N)</t>
  </si>
  <si>
    <t>Hvem når lengst i VM av Norge og England? (Kryss av)</t>
  </si>
  <si>
    <t>England:</t>
  </si>
  <si>
    <t>Kommer Norge til å møte Brasil i finalespillet? (J/N)</t>
  </si>
  <si>
    <t>Går 3. plass i gruppe C videre? (J/N)</t>
  </si>
  <si>
    <t>Går 3.plass i gruppe K videre? (J/N)</t>
  </si>
  <si>
    <t>N</t>
  </si>
  <si>
    <t>X</t>
  </si>
  <si>
    <t>Marokka</t>
  </si>
  <si>
    <t>J</t>
  </si>
  <si>
    <t>Ingen</t>
  </si>
  <si>
    <r>
      <rPr>
        <sz val="12"/>
        <color rgb="FF222222"/>
        <rFont val="Arial"/>
        <family val="2"/>
        <charset val="1"/>
      </rPr>
      <t xml:space="preserve">Gruppe A: Torsdag 11.06.2026 21:00  </t>
    </r>
    <r>
      <rPr>
        <b/>
        <sz val="12"/>
        <color rgb="FF222222"/>
        <rFont val="Arial"/>
        <family val="2"/>
        <charset val="1"/>
      </rPr>
      <t>Mexico - Sør-Afrika</t>
    </r>
  </si>
  <si>
    <r>
      <rPr>
        <sz val="12"/>
        <color rgb="FF222222"/>
        <rFont val="Arial"/>
        <family val="2"/>
        <charset val="1"/>
      </rPr>
      <t xml:space="preserve">Gruppe C: Søndag 14.06.2026 00:00  </t>
    </r>
    <r>
      <rPr>
        <b/>
        <sz val="12"/>
        <color rgb="FF222222"/>
        <rFont val="Arial"/>
        <family val="2"/>
        <charset val="1"/>
      </rPr>
      <t>Brasil - Marokko</t>
    </r>
  </si>
  <si>
    <r>
      <rPr>
        <sz val="12"/>
        <color rgb="FF222222"/>
        <rFont val="Arial"/>
        <family val="2"/>
        <charset val="1"/>
      </rPr>
      <t xml:space="preserve">Gruppe H: Mandag 15.06.2026 18:00 </t>
    </r>
    <r>
      <rPr>
        <b/>
        <sz val="12"/>
        <color rgb="FF222222"/>
        <rFont val="Arial"/>
        <family val="2"/>
        <charset val="1"/>
      </rPr>
      <t xml:space="preserve"> Spania - Kapp Verde</t>
    </r>
  </si>
  <si>
    <r>
      <rPr>
        <sz val="12"/>
        <color rgb="FF222222"/>
        <rFont val="Arial"/>
        <family val="2"/>
        <charset val="1"/>
      </rPr>
      <t xml:space="preserve">Gruppe J: Tirsdag 17.06.2026 03:00  </t>
    </r>
    <r>
      <rPr>
        <b/>
        <sz val="12"/>
        <color rgb="FF222222"/>
        <rFont val="Arial"/>
        <family val="2"/>
        <charset val="1"/>
      </rPr>
      <t>Argentina - Algerie</t>
    </r>
  </si>
  <si>
    <r>
      <rPr>
        <sz val="12"/>
        <color rgb="FF222222"/>
        <rFont val="Arial"/>
        <family val="2"/>
        <charset val="1"/>
      </rPr>
      <t xml:space="preserve">Gruppe L: Onsdag 17.06.2026 22:00  </t>
    </r>
    <r>
      <rPr>
        <b/>
        <sz val="12"/>
        <color rgb="FF222222"/>
        <rFont val="Arial"/>
        <family val="2"/>
        <charset val="1"/>
      </rPr>
      <t>England - Kroatia</t>
    </r>
  </si>
  <si>
    <r>
      <rPr>
        <sz val="12"/>
        <color rgb="FF222222"/>
        <rFont val="Arial"/>
        <family val="2"/>
        <charset val="1"/>
      </rPr>
      <t xml:space="preserve">Gruppe F: Lørdag 20.06.2026 19:00  </t>
    </r>
    <r>
      <rPr>
        <b/>
        <sz val="12"/>
        <color rgb="FF222222"/>
        <rFont val="Arial"/>
        <family val="2"/>
        <charset val="1"/>
      </rPr>
      <t>Nederland - Sverige</t>
    </r>
  </si>
  <si>
    <r>
      <rPr>
        <sz val="12"/>
        <color rgb="FF222222"/>
        <rFont val="Arial"/>
        <family val="2"/>
        <charset val="1"/>
      </rPr>
      <t xml:space="preserve">Gruppe I: Tirsdag 23.06.2026 02:00  </t>
    </r>
    <r>
      <rPr>
        <b/>
        <sz val="12"/>
        <color rgb="FF222222"/>
        <rFont val="Arial"/>
        <family val="2"/>
        <charset val="1"/>
      </rPr>
      <t>Norge - Senegal</t>
    </r>
  </si>
  <si>
    <r>
      <rPr>
        <sz val="12"/>
        <color rgb="FF222222"/>
        <rFont val="Arial"/>
        <family val="2"/>
        <charset val="1"/>
      </rPr>
      <t xml:space="preserve">Gruppe E: Torsdag 25.06.2026 22:00  </t>
    </r>
    <r>
      <rPr>
        <b/>
        <sz val="12"/>
        <color rgb="FF222222"/>
        <rFont val="Arial"/>
        <family val="2"/>
        <charset val="1"/>
      </rPr>
      <t>Ecuador - Tyskland</t>
    </r>
  </si>
  <si>
    <r>
      <rPr>
        <sz val="12"/>
        <color rgb="FF222222"/>
        <rFont val="Arial"/>
        <family val="2"/>
        <charset val="1"/>
      </rPr>
      <t xml:space="preserve">Gruppe I: Fredag 26.06.2026 21:00  </t>
    </r>
    <r>
      <rPr>
        <b/>
        <sz val="12"/>
        <color rgb="FF222222"/>
        <rFont val="Arial"/>
        <family val="2"/>
        <charset val="1"/>
      </rPr>
      <t>Norge - Frankrike</t>
    </r>
  </si>
  <si>
    <r>
      <rPr>
        <sz val="12"/>
        <color rgb="FF222222"/>
        <rFont val="Arial"/>
        <family val="2"/>
        <charset val="1"/>
      </rPr>
      <t xml:space="preserve">Gruppe K: Lørdag 27.06.2026 02:00  </t>
    </r>
    <r>
      <rPr>
        <b/>
        <sz val="12"/>
        <color rgb="FF222222"/>
        <rFont val="Arial"/>
        <family val="2"/>
        <charset val="1"/>
      </rPr>
      <t>Colombia - Portugal</t>
    </r>
  </si>
  <si>
    <t>Bosnia</t>
  </si>
  <si>
    <r>
      <rPr>
        <sz val="12"/>
        <color rgb="FF222222"/>
        <rFont val="Arial"/>
        <family val="2"/>
        <charset val="1"/>
      </rPr>
      <t xml:space="preserve">Hvilke 2 lag møtes i finalen? </t>
    </r>
    <r>
      <rPr>
        <i/>
        <sz val="12"/>
        <color rgb="FF222222"/>
        <rFont val="Arial"/>
        <family val="2"/>
        <charset val="1"/>
      </rPr>
      <t>(4 poeng)</t>
    </r>
  </si>
  <si>
    <r>
      <rPr>
        <sz val="12"/>
        <color rgb="FF222222"/>
        <rFont val="Arial"/>
        <family val="2"/>
        <charset val="1"/>
      </rPr>
      <t xml:space="preserve">Hva er målscore etter 90 min i finalen? </t>
    </r>
    <r>
      <rPr>
        <i/>
        <sz val="12"/>
        <color rgb="FF222222"/>
        <rFont val="Arial"/>
        <family val="2"/>
        <charset val="1"/>
      </rPr>
      <t>(3 poeng)</t>
    </r>
  </si>
  <si>
    <r>
      <rPr>
        <sz val="12"/>
        <color rgb="FF222222"/>
        <rFont val="Arial"/>
        <family val="2"/>
        <charset val="1"/>
      </rPr>
      <t xml:space="preserve">Hvem blir verdensmester? </t>
    </r>
    <r>
      <rPr>
        <i/>
        <sz val="12"/>
        <color rgb="FF222222"/>
        <rFont val="Arial"/>
        <family val="2"/>
        <charset val="1"/>
      </rPr>
      <t>(5 poeng)</t>
    </r>
  </si>
  <si>
    <r>
      <rPr>
        <sz val="12"/>
        <color rgb="FF222222"/>
        <rFont val="Arial"/>
        <family val="2"/>
        <charset val="1"/>
      </rPr>
      <t xml:space="preserve">Fra hvilket land kommer VMs toppscorer? </t>
    </r>
    <r>
      <rPr>
        <i/>
        <sz val="12"/>
        <color rgb="FF222222"/>
        <rFont val="Arial"/>
        <family val="2"/>
        <charset val="1"/>
      </rPr>
      <t>(3 poeng)</t>
    </r>
  </si>
  <si>
    <r>
      <rPr>
        <sz val="12"/>
        <color rgb="FF222222"/>
        <rFont val="Arial"/>
        <family val="2"/>
      </rPr>
      <t xml:space="preserve">Gruppe A: Torsdag 11.06.2026 21:00  </t>
    </r>
    <r>
      <rPr>
        <b/>
        <sz val="12"/>
        <color rgb="FF222222"/>
        <rFont val="Arial"/>
        <family val="2"/>
      </rPr>
      <t>Mexico - Sør-Afrika</t>
    </r>
  </si>
  <si>
    <r>
      <rPr>
        <sz val="12"/>
        <color rgb="FF222222"/>
        <rFont val="Arial"/>
        <family val="2"/>
      </rPr>
      <t xml:space="preserve">Gruppe C: Søndag 14.06.2026 00:00  </t>
    </r>
    <r>
      <rPr>
        <b/>
        <sz val="12"/>
        <color rgb="FF222222"/>
        <rFont val="Arial"/>
        <family val="2"/>
      </rPr>
      <t>Brasil - Marokko</t>
    </r>
  </si>
  <si>
    <r>
      <rPr>
        <sz val="12"/>
        <color rgb="FF222222"/>
        <rFont val="Arial"/>
        <family val="2"/>
      </rPr>
      <t xml:space="preserve">Gruppe H: Mandag 15.06.2026 18:00 </t>
    </r>
    <r>
      <rPr>
        <b/>
        <sz val="12"/>
        <color rgb="FF222222"/>
        <rFont val="Arial"/>
        <family val="2"/>
      </rPr>
      <t xml:space="preserve"> Spania - Kapp Verde</t>
    </r>
  </si>
  <si>
    <r>
      <rPr>
        <sz val="12"/>
        <color rgb="FF222222"/>
        <rFont val="Arial"/>
        <family val="2"/>
      </rPr>
      <t xml:space="preserve">Gruppe J: Tirsdag 17.06.2026 03:00  </t>
    </r>
    <r>
      <rPr>
        <b/>
        <sz val="12"/>
        <color rgb="FF222222"/>
        <rFont val="Arial"/>
        <family val="2"/>
      </rPr>
      <t>Argentina - Algerie</t>
    </r>
  </si>
  <si>
    <r>
      <rPr>
        <sz val="12"/>
        <color rgb="FF222222"/>
        <rFont val="Arial"/>
        <family val="2"/>
      </rPr>
      <t xml:space="preserve">Gruppe L: Onsdag 17.06.2026 22:00  </t>
    </r>
    <r>
      <rPr>
        <b/>
        <sz val="12"/>
        <color rgb="FF222222"/>
        <rFont val="Arial"/>
        <family val="2"/>
      </rPr>
      <t>England - Kroatia</t>
    </r>
  </si>
  <si>
    <r>
      <rPr>
        <sz val="12"/>
        <color rgb="FF222222"/>
        <rFont val="Arial"/>
        <family val="2"/>
      </rPr>
      <t xml:space="preserve">Gruppe F: Lørdag 20.06.2026 19:00  </t>
    </r>
    <r>
      <rPr>
        <b/>
        <sz val="12"/>
        <color rgb="FF222222"/>
        <rFont val="Arial"/>
        <family val="2"/>
      </rPr>
      <t>Nederland - Sverige</t>
    </r>
  </si>
  <si>
    <r>
      <rPr>
        <sz val="12"/>
        <color rgb="FF222222"/>
        <rFont val="Arial"/>
        <family val="2"/>
      </rPr>
      <t xml:space="preserve">Gruppe I: Tirsdag 23.06.2026 02:00  </t>
    </r>
    <r>
      <rPr>
        <b/>
        <sz val="12"/>
        <color rgb="FF222222"/>
        <rFont val="Arial"/>
        <family val="2"/>
      </rPr>
      <t>Norge - Senegal</t>
    </r>
  </si>
  <si>
    <r>
      <rPr>
        <sz val="12"/>
        <color rgb="FF222222"/>
        <rFont val="Arial"/>
        <family val="2"/>
      </rPr>
      <t xml:space="preserve">Gruppe E: Torsdag 25.06.2026 22:00  </t>
    </r>
    <r>
      <rPr>
        <b/>
        <sz val="12"/>
        <color rgb="FF222222"/>
        <rFont val="Arial"/>
        <family val="2"/>
      </rPr>
      <t>Ecuador - Tyskland</t>
    </r>
  </si>
  <si>
    <r>
      <rPr>
        <sz val="12"/>
        <color rgb="FF222222"/>
        <rFont val="Arial"/>
        <family val="2"/>
      </rPr>
      <t xml:space="preserve">Gruppe I: Fredag 26.06.2026 21:00  </t>
    </r>
    <r>
      <rPr>
        <b/>
        <sz val="12"/>
        <color rgb="FF222222"/>
        <rFont val="Arial"/>
        <family val="2"/>
      </rPr>
      <t>Norge - Frankrike</t>
    </r>
  </si>
  <si>
    <r>
      <rPr>
        <sz val="12"/>
        <color rgb="FF222222"/>
        <rFont val="Arial"/>
        <family val="2"/>
      </rPr>
      <t xml:space="preserve">Gruppe K: Lørdag 27.06.2026 02:00  </t>
    </r>
    <r>
      <rPr>
        <b/>
        <sz val="12"/>
        <color rgb="FF222222"/>
        <rFont val="Arial"/>
        <family val="2"/>
      </rPr>
      <t>Colombia - Portugal</t>
    </r>
  </si>
  <si>
    <t>x</t>
  </si>
  <si>
    <t>Mexico, USA</t>
  </si>
  <si>
    <r>
      <rPr>
        <sz val="12"/>
        <color rgb="FF222222"/>
        <rFont val="Arial"/>
        <family val="2"/>
      </rPr>
      <t xml:space="preserve">Hvilke 2 lag møtes i finalen? </t>
    </r>
    <r>
      <rPr>
        <i/>
        <sz val="12"/>
        <color rgb="FF222222"/>
        <rFont val="Arial"/>
        <family val="2"/>
      </rPr>
      <t>(4 poeng)</t>
    </r>
  </si>
  <si>
    <r>
      <rPr>
        <sz val="12"/>
        <color rgb="FF222222"/>
        <rFont val="Arial"/>
        <family val="2"/>
      </rPr>
      <t xml:space="preserve">Hva er målscore etter 90 min i finalen? </t>
    </r>
    <r>
      <rPr>
        <i/>
        <sz val="12"/>
        <color rgb="FF222222"/>
        <rFont val="Arial"/>
        <family val="2"/>
      </rPr>
      <t>(3 poeng)</t>
    </r>
  </si>
  <si>
    <r>
      <rPr>
        <sz val="12"/>
        <color rgb="FF222222"/>
        <rFont val="Arial"/>
        <family val="2"/>
      </rPr>
      <t xml:space="preserve">Hvem blir verdensmester? </t>
    </r>
    <r>
      <rPr>
        <i/>
        <sz val="12"/>
        <color rgb="FF222222"/>
        <rFont val="Arial"/>
        <family val="2"/>
      </rPr>
      <t>(5 poeng)</t>
    </r>
  </si>
  <si>
    <r>
      <rPr>
        <sz val="12"/>
        <color rgb="FF222222"/>
        <rFont val="Arial"/>
        <family val="2"/>
      </rPr>
      <t xml:space="preserve">Fra hvilket land kommer VMs toppscorer? </t>
    </r>
    <r>
      <rPr>
        <i/>
        <sz val="12"/>
        <color rgb="FF222222"/>
        <rFont val="Arial"/>
        <family val="2"/>
      </rPr>
      <t>(3 poeng)</t>
    </r>
  </si>
  <si>
    <t>Ja</t>
  </si>
  <si>
    <t>Nei</t>
  </si>
  <si>
    <t>USA, Mexico</t>
  </si>
  <si>
    <t>Mexico og USA</t>
  </si>
  <si>
    <t>ja</t>
  </si>
  <si>
    <t>Tyskalnd</t>
  </si>
  <si>
    <t>Sør Korea</t>
  </si>
  <si>
    <t xml:space="preserve">  X</t>
  </si>
  <si>
    <t>Navn</t>
  </si>
  <si>
    <t>Mexico-Sør-Afrika (H)</t>
  </si>
  <si>
    <t>Mexico-Sør-Afrika (B)</t>
  </si>
  <si>
    <t>Brasil-Marokko (H)</t>
  </si>
  <si>
    <t>Brasil-Marokko (B)</t>
  </si>
  <si>
    <t>Spania-Kapp Verde (H)</t>
  </si>
  <si>
    <t>Spania-Kapp Verde (B)</t>
  </si>
  <si>
    <t>Argentina-Algerie (H)</t>
  </si>
  <si>
    <t>Argentina-Algerie (B)</t>
  </si>
  <si>
    <t>England-Kroatia (H)</t>
  </si>
  <si>
    <t>England-Kroatia (B)</t>
  </si>
  <si>
    <t>Nederland-Sverige (H)</t>
  </si>
  <si>
    <t>Nederland-Sverige (B)</t>
  </si>
  <si>
    <t>Norge-Senegal (H)</t>
  </si>
  <si>
    <t>Norge-Senegal (B)</t>
  </si>
  <si>
    <t>Ecuador-Tyskland (H)</t>
  </si>
  <si>
    <t>Ecuador-Tyskland (B)</t>
  </si>
  <si>
    <t>Norge-Frankrike (H)</t>
  </si>
  <si>
    <t>Norge-Frankrike (B)</t>
  </si>
  <si>
    <t>Colombia-Portugal (H)</t>
  </si>
  <si>
    <t>Colombia-Portugal (B)</t>
  </si>
  <si>
    <t>Res 1</t>
  </si>
  <si>
    <t>Res 2</t>
  </si>
  <si>
    <t>Res 3</t>
  </si>
  <si>
    <t>Res 4</t>
  </si>
  <si>
    <t>Res 5</t>
  </si>
  <si>
    <t>Res 6</t>
  </si>
  <si>
    <t>Res 7</t>
  </si>
  <si>
    <t>Res 8</t>
  </si>
  <si>
    <t>Res 9</t>
  </si>
  <si>
    <t>Res 10</t>
  </si>
  <si>
    <t>A-vinner</t>
  </si>
  <si>
    <t>B-toer</t>
  </si>
  <si>
    <t>C 3.pl videre</t>
  </si>
  <si>
    <t>D-vinner</t>
  </si>
  <si>
    <t>F-vinner</t>
  </si>
  <si>
    <t>G-vinner</t>
  </si>
  <si>
    <t>I-toer</t>
  </si>
  <si>
    <t>K 3.pl videre</t>
  </si>
  <si>
    <t>Norge 7+ mål</t>
  </si>
  <si>
    <t>Norge innslipp 4+</t>
  </si>
  <si>
    <t>Norge møter Brasil</t>
  </si>
  <si>
    <t>Lengst N/Eng</t>
  </si>
  <si>
    <t>Toppscorer</t>
  </si>
  <si>
    <t>Ahilan</t>
  </si>
  <si>
    <t>Haakon</t>
  </si>
  <si>
    <t>AI</t>
  </si>
  <si>
    <t>Jardar</t>
  </si>
  <si>
    <t>Kari</t>
  </si>
  <si>
    <t>Knut</t>
  </si>
  <si>
    <t>Leif Anders</t>
  </si>
  <si>
    <t>Magnus</t>
  </si>
  <si>
    <t>Malin</t>
  </si>
  <si>
    <t>Marit</t>
  </si>
  <si>
    <t>Trude</t>
  </si>
  <si>
    <t>Vidar</t>
  </si>
  <si>
    <t>Øystein</t>
  </si>
  <si>
    <t>Ådne</t>
  </si>
  <si>
    <t>⚽ VM 2026 – Slik tippet ekspertene</t>
  </si>
  <si>
    <t>Sammendrag av alle 14 innleverte tips · «Digibok med venner»</t>
  </si>
  <si>
    <t>"Av alle uviktige ting i verden er fotball den aller viktigste"  – pave Johannes Paul II</t>
  </si>
  <si>
    <t>⚽ Folkets kupong – gruppespillet</t>
  </si>
  <si>
    <t>Kamp</t>
  </si>
  <si>
    <t>Snitt-tips</t>
  </si>
  <si>
    <t>Folkets dom</t>
  </si>
  <si>
    <t>Hjemme</t>
  </si>
  <si>
    <t>Uavgjort</t>
  </si>
  <si>
    <t>Borte</t>
  </si>
  <si>
    <t>Mexico – Sør-Afrika</t>
  </si>
  <si>
    <t>Brasil – Marokko</t>
  </si>
  <si>
    <t>Spania – Kapp Verde</t>
  </si>
  <si>
    <t>Argentina – Algerie</t>
  </si>
  <si>
    <t>England – Kroatia</t>
  </si>
  <si>
    <t>Nederland – Sverige</t>
  </si>
  <si>
    <t>Norge – Senegal</t>
  </si>
  <si>
    <t>Ecuador – Tyskland</t>
  </si>
  <si>
    <t>Norge – Frankrike</t>
  </si>
  <si>
    <t>Colombia – Portugal</t>
  </si>
  <si>
    <t>🏆 Gruppespørsmålene – hva tror flertallet?</t>
  </si>
  <si>
    <t>Spørsmål</t>
  </si>
  <si>
    <t>Folkets svar</t>
  </si>
  <si>
    <t>Oppslutning</t>
  </si>
  <si>
    <t>Vinner gruppe A?</t>
  </si>
  <si>
    <t>Toer gruppe B?</t>
  </si>
  <si>
    <t>Går 3. plass i gruppe C videre?</t>
  </si>
  <si>
    <t>Vinner gruppe D?</t>
  </si>
  <si>
    <t>Vinner gruppe F?</t>
  </si>
  <si>
    <t>Vinner gruppe G?</t>
  </si>
  <si>
    <t>Toer gruppe I?</t>
  </si>
  <si>
    <t>Går 3. plass i gruppe K videre?</t>
  </si>
  <si>
    <t>🇳🇴 Norge-spørsmålene</t>
  </si>
  <si>
    <t>Scorer Norge 7+ mål i gruppespillet?</t>
  </si>
  <si>
    <t>Slipper Norge inn 4+ mål i gruppespillet?</t>
  </si>
  <si>
    <t>Møter Norge Brasil i finalespillet?</t>
  </si>
  <si>
    <t>Når lengst i VM – Norge eller England?</t>
  </si>
  <si>
    <t>Norges toppscorer i VM?</t>
  </si>
  <si>
    <t>🎉 Morsomme funn</t>
  </si>
  <si>
    <t>•  Ingen tror på Norge mot England! Alle som svarte mener England når lengst i VM – og Kari turte ikke én gang å velge.</t>
  </si>
  <si>
    <t>•  Haaland-land: 12 av 14 spår Haaland som Norges toppscorer. Kun Knut og Øystein heier på Sørloth.</t>
  </si>
  <si>
    <t>•  Forsvars-pessimisme: 10 tror Norge slipper inn 4+ mål i gruppespillet, men bare 3 tror på 7+ scoringer.</t>
  </si>
  <si>
    <t>•  Tidenes optimist: AI ga Spania hele 6–0 mot Kapp Verde – turneringens villeste enkelttips.</t>
  </si>
  <si>
    <t>•  Målfest vs. bussparking: Ådne tippet flest mål totalt (35) over de 10 kampene, Jardar færrest (17).</t>
  </si>
  <si>
    <t>•  Senegal-skrekk: Bare Vidar tror Norge taper åpningskampen mot Senegal (2–3). Resten ser seier eller uavgjort.</t>
  </si>
  <si>
    <t>•  Full enighet: Alle 14 mener Nederland vinner gruppe F, og alle 14 tror Tyskland slår Ecuador.</t>
  </si>
  <si>
    <t>•  Brasil-drømmen: Kun Haakon, Knut og Øystein tror Norge møter Brasil i finalespillet.</t>
  </si>
  <si>
    <t>Lykke til alle sammen – nå er det bare å vente i spenning på hvem som krønes til største fotballekspert! 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</si>
</sst>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i/>
      <sz val="12"/>
      <color rgb="FF222222"/>
      <name val="Arial"/>
      <family val="2"/>
    </font>
    <font>
      <b/>
      <sz val="12"/>
      <color rgb="FF222222"/>
      <name val="Arial"/>
      <family val="2"/>
    </font>
    <font>
      <b/>
      <i/>
      <sz val="12"/>
      <color rgb="FF222222"/>
      <name val="Arial"/>
      <family val="2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i/>
      <sz val="16"/>
      <color theme="1"/>
      <name val="Calibri"/>
      <family val="2"/>
      <scheme val="minor"/>
    </font>
    <font>
      <b/>
      <u/>
      <sz val="14"/>
      <color rgb="FF222222"/>
      <name val="Calibri"/>
      <family val="2"/>
    </font>
    <font>
      <sz val="11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b/>
      <i/>
      <sz val="12"/>
      <color rgb="FF222222"/>
      <name val="Arial"/>
      <family val="2"/>
      <charset val="1"/>
    </font>
    <font>
      <sz val="12"/>
      <color rgb="FF222222"/>
      <name val="Arial"/>
      <family val="2"/>
      <charset val="1"/>
    </font>
    <font>
      <i/>
      <sz val="12"/>
      <color rgb="FF222222"/>
      <name val="Arial"/>
      <family val="2"/>
      <charset val="1"/>
    </font>
    <font>
      <b/>
      <sz val="12"/>
      <color rgb="FF222222"/>
      <name val="Arial"/>
      <family val="2"/>
      <charset val="1"/>
    </font>
    <font>
      <b/>
      <u/>
      <sz val="14"/>
      <color rgb="FF222222"/>
      <name val="Calibri"/>
      <family val="2"/>
      <charset val="1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b/>
      <i/>
      <sz val="12"/>
      <color rgb="FF222222"/>
      <name val="Arial"/>
      <family val="2"/>
    </font>
    <font>
      <sz val="12"/>
      <color rgb="FF222222"/>
      <name val="Arial"/>
      <family val="2"/>
    </font>
    <font>
      <i/>
      <sz val="12"/>
      <color rgb="FF222222"/>
      <name val="Arial"/>
      <family val="2"/>
    </font>
    <font>
      <b/>
      <u/>
      <sz val="14"/>
      <color rgb="FF222222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4"/>
      <color rgb="FF1F6F63"/>
      <name val="Calibri"/>
      <family val="2"/>
      <scheme val="minor"/>
    </font>
    <font>
      <i/>
      <sz val="11"/>
      <color rgb="FF1F6F6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8E6DE"/>
        <bgColor indexed="64"/>
      </patternFill>
    </fill>
    <fill>
      <patternFill patternType="solid">
        <fgColor rgb="FFC3E1EB"/>
        <bgColor indexed="64"/>
      </patternFill>
    </fill>
    <fill>
      <patternFill patternType="solid">
        <fgColor rgb="FFB4E6FA"/>
        <bgColor indexed="64"/>
      </patternFill>
    </fill>
    <fill>
      <patternFill patternType="solid">
        <fgColor rgb="FFB8C9FE"/>
        <bgColor indexed="64"/>
      </patternFill>
    </fill>
    <fill>
      <patternFill patternType="solid">
        <fgColor rgb="FF95DDEB"/>
        <bgColor indexed="64"/>
      </patternFill>
    </fill>
    <fill>
      <patternFill patternType="solid">
        <fgColor rgb="FFB8E6DE"/>
        <bgColor rgb="FFC3E1EB"/>
      </patternFill>
    </fill>
    <fill>
      <patternFill patternType="solid">
        <fgColor rgb="FFC3E1EB"/>
        <bgColor rgb="FFB8E6DE"/>
      </patternFill>
    </fill>
    <fill>
      <patternFill patternType="solid">
        <fgColor rgb="FF95DDEB"/>
        <bgColor rgb="FFB4E6FA"/>
      </patternFill>
    </fill>
    <fill>
      <patternFill patternType="solid">
        <fgColor rgb="FFB4E6FA"/>
        <bgColor rgb="FFB8E6DE"/>
      </patternFill>
    </fill>
    <fill>
      <patternFill patternType="solid">
        <fgColor rgb="FFB8C9FE"/>
        <bgColor rgb="FFC3E1EB"/>
      </patternFill>
    </fill>
    <fill>
      <patternFill patternType="solid">
        <fgColor rgb="FFB8E6DE"/>
        <bgColor rgb="FFB8E6DE"/>
      </patternFill>
    </fill>
    <fill>
      <patternFill patternType="solid">
        <fgColor rgb="FFC3E1EB"/>
        <bgColor rgb="FFC3E1EB"/>
      </patternFill>
    </fill>
    <fill>
      <patternFill patternType="solid">
        <fgColor rgb="FF95DDEB"/>
        <bgColor rgb="FF95DDEB"/>
      </patternFill>
    </fill>
    <fill>
      <patternFill patternType="solid">
        <fgColor rgb="FFB4E6FA"/>
        <bgColor rgb="FFB4E6FA"/>
      </patternFill>
    </fill>
    <fill>
      <patternFill patternType="solid">
        <fgColor rgb="FFB8C9FE"/>
        <bgColor rgb="FFB8C9FE"/>
      </patternFill>
    </fill>
    <fill>
      <patternFill patternType="solid">
        <fgColor rgb="FF1F6F63"/>
        <bgColor indexed="64"/>
      </patternFill>
    </fill>
    <fill>
      <patternFill patternType="solid">
        <fgColor rgb="FFEAF5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AF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9" fillId="0" borderId="0"/>
    <xf numFmtId="0" fontId="17" fillId="0" borderId="0"/>
  </cellStyleXfs>
  <cellXfs count="143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1" fillId="0" borderId="1" xfId="0" applyFont="1" applyBorder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0" borderId="0" xfId="0" applyFont="1"/>
    <xf numFmtId="0" fontId="0" fillId="0" borderId="6" xfId="0" applyBorder="1"/>
    <xf numFmtId="0" fontId="0" fillId="5" borderId="0" xfId="0" applyFill="1"/>
    <xf numFmtId="0" fontId="5" fillId="5" borderId="0" xfId="0" applyFont="1" applyFill="1"/>
    <xf numFmtId="0" fontId="1" fillId="5" borderId="0" xfId="0" applyFont="1" applyFill="1"/>
    <xf numFmtId="0" fontId="2" fillId="5" borderId="0" xfId="0" applyFont="1" applyFill="1"/>
    <xf numFmtId="0" fontId="0" fillId="5" borderId="5" xfId="0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6" borderId="0" xfId="0" applyFont="1" applyFill="1"/>
    <xf numFmtId="0" fontId="8" fillId="6" borderId="0" xfId="0" applyFont="1" applyFill="1"/>
    <xf numFmtId="0" fontId="2" fillId="6" borderId="0" xfId="0" applyFont="1" applyFill="1"/>
    <xf numFmtId="0" fontId="1" fillId="6" borderId="0" xfId="0" applyFont="1" applyFill="1" applyAlignment="1">
      <alignment horizontal="center"/>
    </xf>
    <xf numFmtId="0" fontId="9" fillId="7" borderId="0" xfId="2" applyFill="1"/>
    <xf numFmtId="0" fontId="11" fillId="7" borderId="0" xfId="2" applyFont="1" applyFill="1"/>
    <xf numFmtId="0" fontId="9" fillId="7" borderId="0" xfId="2" applyFill="1" applyAlignment="1">
      <alignment horizontal="left"/>
    </xf>
    <xf numFmtId="0" fontId="12" fillId="7" borderId="0" xfId="2" applyFont="1" applyFill="1"/>
    <xf numFmtId="0" fontId="12" fillId="7" borderId="0" xfId="2" applyFont="1" applyFill="1" applyAlignment="1">
      <alignment horizontal="left"/>
    </xf>
    <xf numFmtId="0" fontId="13" fillId="7" borderId="0" xfId="2" applyFont="1" applyFill="1"/>
    <xf numFmtId="0" fontId="11" fillId="8" borderId="0" xfId="2" applyFont="1" applyFill="1"/>
    <xf numFmtId="0" fontId="9" fillId="8" borderId="0" xfId="2" applyFill="1"/>
    <xf numFmtId="0" fontId="14" fillId="8" borderId="0" xfId="2" applyFont="1" applyFill="1"/>
    <xf numFmtId="0" fontId="13" fillId="8" borderId="0" xfId="2" applyFont="1" applyFill="1"/>
    <xf numFmtId="0" fontId="9" fillId="0" borderId="1" xfId="2" applyBorder="1"/>
    <xf numFmtId="0" fontId="9" fillId="8" borderId="0" xfId="2" applyFill="1" applyAlignment="1">
      <alignment horizontal="center"/>
    </xf>
    <xf numFmtId="0" fontId="16" fillId="9" borderId="0" xfId="2" applyFont="1" applyFill="1"/>
    <xf numFmtId="0" fontId="13" fillId="9" borderId="0" xfId="2" applyFont="1" applyFill="1"/>
    <xf numFmtId="0" fontId="14" fillId="9" borderId="0" xfId="2" applyFont="1" applyFill="1"/>
    <xf numFmtId="0" fontId="13" fillId="9" borderId="0" xfId="2" applyFont="1" applyFill="1" applyAlignment="1">
      <alignment horizontal="center"/>
    </xf>
    <xf numFmtId="0" fontId="11" fillId="10" borderId="0" xfId="2" applyFont="1" applyFill="1"/>
    <xf numFmtId="0" fontId="9" fillId="10" borderId="0" xfId="2" applyFill="1"/>
    <xf numFmtId="0" fontId="14" fillId="10" borderId="0" xfId="2" applyFont="1" applyFill="1"/>
    <xf numFmtId="0" fontId="13" fillId="10" borderId="0" xfId="2" applyFont="1" applyFill="1"/>
    <xf numFmtId="0" fontId="13" fillId="0" borderId="1" xfId="2" applyFont="1" applyBorder="1"/>
    <xf numFmtId="0" fontId="11" fillId="11" borderId="0" xfId="2" applyFont="1" applyFill="1"/>
    <xf numFmtId="0" fontId="9" fillId="11" borderId="0" xfId="2" applyFill="1"/>
    <xf numFmtId="0" fontId="13" fillId="11" borderId="0" xfId="2" applyFont="1" applyFill="1"/>
    <xf numFmtId="0" fontId="14" fillId="11" borderId="0" xfId="2" applyFont="1" applyFill="1"/>
    <xf numFmtId="0" fontId="9" fillId="11" borderId="5" xfId="2" applyFill="1" applyBorder="1" applyAlignment="1">
      <alignment horizontal="center"/>
    </xf>
    <xf numFmtId="0" fontId="9" fillId="0" borderId="0" xfId="2"/>
    <xf numFmtId="0" fontId="20" fillId="12" borderId="0" xfId="3" applyFont="1" applyFill="1"/>
    <xf numFmtId="0" fontId="17" fillId="0" borderId="0" xfId="3"/>
    <xf numFmtId="0" fontId="21" fillId="12" borderId="0" xfId="3" applyFont="1" applyFill="1"/>
    <xf numFmtId="0" fontId="20" fillId="12" borderId="0" xfId="3" applyFont="1" applyFill="1" applyAlignment="1">
      <alignment horizontal="left"/>
    </xf>
    <xf numFmtId="0" fontId="22" fillId="12" borderId="0" xfId="3" applyFont="1" applyFill="1"/>
    <xf numFmtId="0" fontId="22" fillId="12" borderId="0" xfId="3" applyFont="1" applyFill="1" applyAlignment="1">
      <alignment horizontal="left"/>
    </xf>
    <xf numFmtId="0" fontId="23" fillId="12" borderId="0" xfId="3" applyFont="1" applyFill="1"/>
    <xf numFmtId="0" fontId="21" fillId="13" borderId="0" xfId="3" applyFont="1" applyFill="1"/>
    <xf numFmtId="0" fontId="20" fillId="13" borderId="0" xfId="3" applyFont="1" applyFill="1"/>
    <xf numFmtId="0" fontId="24" fillId="13" borderId="0" xfId="3" applyFont="1" applyFill="1"/>
    <xf numFmtId="0" fontId="23" fillId="13" borderId="0" xfId="3" applyFont="1" applyFill="1"/>
    <xf numFmtId="0" fontId="20" fillId="0" borderId="8" xfId="3" applyFont="1" applyBorder="1"/>
    <xf numFmtId="0" fontId="20" fillId="13" borderId="0" xfId="3" applyFont="1" applyFill="1" applyAlignment="1">
      <alignment horizontal="center"/>
    </xf>
    <xf numFmtId="0" fontId="25" fillId="14" borderId="0" xfId="3" applyFont="1" applyFill="1"/>
    <xf numFmtId="0" fontId="23" fillId="14" borderId="0" xfId="3" applyFont="1" applyFill="1"/>
    <xf numFmtId="0" fontId="24" fillId="14" borderId="0" xfId="3" applyFont="1" applyFill="1"/>
    <xf numFmtId="0" fontId="23" fillId="14" borderId="0" xfId="3" applyFont="1" applyFill="1" applyAlignment="1">
      <alignment horizontal="center"/>
    </xf>
    <xf numFmtId="0" fontId="21" fillId="15" borderId="0" xfId="3" applyFont="1" applyFill="1"/>
    <xf numFmtId="0" fontId="20" fillId="15" borderId="0" xfId="3" applyFont="1" applyFill="1"/>
    <xf numFmtId="0" fontId="24" fillId="15" borderId="0" xfId="3" applyFont="1" applyFill="1"/>
    <xf numFmtId="0" fontId="23" fillId="15" borderId="0" xfId="3" applyFont="1" applyFill="1"/>
    <xf numFmtId="0" fontId="23" fillId="0" borderId="8" xfId="3" applyFont="1" applyBorder="1"/>
    <xf numFmtId="0" fontId="21" fillId="16" borderId="0" xfId="3" applyFont="1" applyFill="1"/>
    <xf numFmtId="0" fontId="20" fillId="16" borderId="0" xfId="3" applyFont="1" applyFill="1"/>
    <xf numFmtId="0" fontId="23" fillId="16" borderId="0" xfId="3" applyFont="1" applyFill="1"/>
    <xf numFmtId="0" fontId="24" fillId="16" borderId="0" xfId="3" applyFont="1" applyFill="1"/>
    <xf numFmtId="0" fontId="20" fillId="16" borderId="13" xfId="3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6" borderId="7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0" borderId="1" xfId="2" applyBorder="1" applyAlignment="1">
      <alignment horizontal="left"/>
    </xf>
    <xf numFmtId="0" fontId="13" fillId="0" borderId="1" xfId="2" applyFont="1" applyBorder="1" applyAlignment="1">
      <alignment horizontal="center"/>
    </xf>
    <xf numFmtId="0" fontId="13" fillId="9" borderId="7" xfId="2" applyFont="1" applyFill="1" applyBorder="1" applyAlignment="1">
      <alignment horizontal="center"/>
    </xf>
    <xf numFmtId="0" fontId="9" fillId="0" borderId="1" xfId="2" applyBorder="1" applyAlignment="1">
      <alignment horizontal="center"/>
    </xf>
    <xf numFmtId="0" fontId="12" fillId="7" borderId="0" xfId="2" applyFont="1" applyFill="1" applyAlignment="1">
      <alignment horizontal="left"/>
    </xf>
    <xf numFmtId="0" fontId="10" fillId="7" borderId="0" xfId="2" applyFont="1" applyFill="1" applyAlignment="1">
      <alignment horizontal="center" vertical="top"/>
    </xf>
    <xf numFmtId="0" fontId="9" fillId="7" borderId="0" xfId="2" applyFill="1" applyAlignment="1">
      <alignment horizontal="left"/>
    </xf>
    <xf numFmtId="0" fontId="20" fillId="0" borderId="9" xfId="3" applyFont="1" applyBorder="1" applyAlignment="1">
      <alignment horizontal="left"/>
    </xf>
    <xf numFmtId="0" fontId="19" fillId="0" borderId="12" xfId="3" applyFont="1" applyBorder="1"/>
    <xf numFmtId="0" fontId="19" fillId="0" borderId="10" xfId="3" applyFont="1" applyBorder="1"/>
    <xf numFmtId="0" fontId="23" fillId="0" borderId="9" xfId="3" applyFont="1" applyBorder="1" applyAlignment="1">
      <alignment horizontal="center"/>
    </xf>
    <xf numFmtId="0" fontId="23" fillId="14" borderId="11" xfId="3" applyFont="1" applyFill="1" applyBorder="1" applyAlignment="1">
      <alignment horizontal="center"/>
    </xf>
    <xf numFmtId="0" fontId="19" fillId="0" borderId="0" xfId="3" applyFont="1"/>
    <xf numFmtId="0" fontId="22" fillId="12" borderId="0" xfId="3" applyFont="1" applyFill="1" applyAlignment="1">
      <alignment horizontal="left"/>
    </xf>
    <xf numFmtId="0" fontId="18" fillId="12" borderId="0" xfId="3" applyFont="1" applyFill="1" applyAlignment="1">
      <alignment horizontal="center" vertical="top"/>
    </xf>
    <xf numFmtId="0" fontId="20" fillId="12" borderId="0" xfId="3" applyFont="1" applyFill="1" applyAlignment="1">
      <alignment horizontal="left"/>
    </xf>
    <xf numFmtId="0" fontId="26" fillId="0" borderId="0" xfId="0" applyFont="1"/>
    <xf numFmtId="0" fontId="27" fillId="17" borderId="0" xfId="0" applyFont="1" applyFill="1"/>
    <xf numFmtId="0" fontId="31" fillId="0" borderId="0" xfId="0" applyFont="1"/>
    <xf numFmtId="0" fontId="32" fillId="0" borderId="0" xfId="0" applyFont="1"/>
    <xf numFmtId="0" fontId="28" fillId="17" borderId="0" xfId="0" applyFont="1" applyFill="1" applyAlignment="1">
      <alignment horizontal="left"/>
    </xf>
    <xf numFmtId="0" fontId="29" fillId="17" borderId="0" xfId="0" applyFont="1" applyFill="1"/>
    <xf numFmtId="0" fontId="30" fillId="0" borderId="0" xfId="0" applyFont="1"/>
    <xf numFmtId="0" fontId="27" fillId="17" borderId="14" xfId="0" applyFont="1" applyFill="1" applyBorder="1"/>
    <xf numFmtId="0" fontId="27" fillId="17" borderId="15" xfId="0" applyFont="1" applyFill="1" applyBorder="1" applyAlignment="1">
      <alignment horizontal="center"/>
    </xf>
    <xf numFmtId="0" fontId="27" fillId="17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8" borderId="17" xfId="0" applyFill="1" applyBorder="1"/>
    <xf numFmtId="0" fontId="0" fillId="18" borderId="18" xfId="0" applyFill="1" applyBorder="1" applyAlignment="1">
      <alignment horizontal="center"/>
    </xf>
    <xf numFmtId="0" fontId="26" fillId="18" borderId="18" xfId="0" applyFont="1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18" borderId="20" xfId="0" applyFill="1" applyBorder="1"/>
    <xf numFmtId="0" fontId="0" fillId="18" borderId="21" xfId="0" applyFill="1" applyBorder="1" applyAlignment="1">
      <alignment horizontal="center"/>
    </xf>
    <xf numFmtId="0" fontId="26" fillId="18" borderId="21" xfId="0" applyFont="1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26" fillId="19" borderId="0" xfId="0" applyFont="1" applyFill="1"/>
    <xf numFmtId="0" fontId="0" fillId="19" borderId="0" xfId="0" applyFill="1"/>
    <xf numFmtId="0" fontId="0" fillId="20" borderId="0" xfId="0" applyFont="1" applyFill="1"/>
    <xf numFmtId="0" fontId="0" fillId="20" borderId="0" xfId="0" applyFill="1"/>
  </cellXfs>
  <cellStyles count="4">
    <cellStyle name="Normal" xfId="0" builtinId="0"/>
    <cellStyle name="Normal 2" xfId="1" xr:uid="{DBA3219D-8CB8-4FF0-A215-1C868EEFE380}"/>
    <cellStyle name="Normal 3" xfId="2" xr:uid="{BB619A4E-0C7C-4C20-8634-4383707BD401}"/>
    <cellStyle name="Normal 4" xfId="3" xr:uid="{98D48217-9C83-4AE1-A3B5-058DB274911F}"/>
  </cellStyles>
  <dxfs count="0"/>
  <tableStyles count="0" defaultTableStyle="TableStyleMedium2" defaultPivotStyle="PivotStyleLight16"/>
  <colors>
    <mruColors>
      <color rgb="FF95DDEB"/>
      <color rgb="FFB8C9FE"/>
      <color rgb="FFA1E0ED"/>
      <color rgb="FFAEE5F0"/>
      <color rgb="FFB4E6FA"/>
      <color rgb="FFD3D2FE"/>
      <color rgb="FFDBC6FE"/>
      <color rgb="FF9AD7FC"/>
      <color rgb="FF62C0FA"/>
      <color rgb="FF53C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49363-354A-0840-BE24-4BF220D0C1C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775b653-64be-4457-98ad-c17c0af22d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3CE1-9D34-480C-BAA0-722CB85ED0E2}">
  <sheetPr>
    <pageSetUpPr fitToPage="1"/>
  </sheetPr>
  <dimension ref="A1:CF64"/>
  <sheetViews>
    <sheetView zoomScale="78" zoomScaleNormal="75" workbookViewId="0">
      <selection activeCell="Y41" sqref="Y41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16406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1640625" customWidth="1"/>
    <col min="10" max="10" width="3.6640625" customWidth="1"/>
    <col min="11" max="11" width="11.6640625" customWidth="1"/>
    <col min="12" max="13" width="3.5" customWidth="1"/>
    <col min="14" max="14" width="4.16406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1640625" customWidth="1"/>
    <col min="22" max="22" width="3" customWidth="1"/>
    <col min="23" max="23" width="1.33203125" customWidth="1"/>
    <col min="24" max="24" width="4.1640625" customWidth="1"/>
    <col min="25" max="25" width="7.1640625" customWidth="1"/>
    <col min="26" max="26" width="3.6640625" customWidth="1"/>
    <col min="27" max="27" width="1.1640625" customWidth="1"/>
    <col min="28" max="28" width="4.16406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1640625" customWidth="1"/>
    <col min="36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16406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16406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16406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16406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16406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1640625" customWidth="1"/>
    <col min="78" max="78" width="3" customWidth="1"/>
    <col min="79" max="79" width="2.832031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16406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/>
      <c r="G11" s="7" t="s">
        <v>26</v>
      </c>
      <c r="H11" s="1"/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/>
      <c r="G12" s="7" t="s">
        <v>26</v>
      </c>
      <c r="H12" s="1"/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/>
      <c r="G13" s="7" t="s">
        <v>26</v>
      </c>
      <c r="H13" s="1"/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/>
      <c r="G14" s="7" t="s">
        <v>26</v>
      </c>
      <c r="H14" s="1"/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/>
      <c r="G15" s="7" t="s">
        <v>26</v>
      </c>
      <c r="H15" s="1"/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/>
      <c r="G16" s="7" t="s">
        <v>26</v>
      </c>
      <c r="H16" s="1"/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/>
      <c r="G17" s="7" t="s">
        <v>26</v>
      </c>
      <c r="H17" s="1"/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/>
      <c r="G18" s="7" t="s">
        <v>26</v>
      </c>
      <c r="H18" s="1"/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/>
      <c r="G19" s="7" t="s">
        <v>26</v>
      </c>
      <c r="H19" s="1"/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/>
      <c r="G20" s="7" t="s">
        <v>26</v>
      </c>
      <c r="H20" s="1"/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/>
      <c r="D23" s="93"/>
    </row>
    <row r="24" spans="1:11" s="6" customFormat="1" ht="16" x14ac:dyDescent="0.2">
      <c r="A24" s="6" t="s">
        <v>28</v>
      </c>
      <c r="C24" s="91"/>
      <c r="D24" s="93"/>
    </row>
    <row r="25" spans="1:11" s="6" customFormat="1" ht="16" x14ac:dyDescent="0.2">
      <c r="A25" s="6" t="s">
        <v>114</v>
      </c>
      <c r="C25" s="1"/>
    </row>
    <row r="26" spans="1:11" s="6" customFormat="1" ht="16" x14ac:dyDescent="0.2">
      <c r="A26" s="6" t="s">
        <v>98</v>
      </c>
      <c r="C26" s="91"/>
      <c r="D26" s="93"/>
    </row>
    <row r="27" spans="1:11" s="6" customFormat="1" ht="16" x14ac:dyDescent="0.2">
      <c r="A27" s="6" t="s">
        <v>29</v>
      </c>
      <c r="C27" s="91"/>
      <c r="D27" s="93"/>
    </row>
    <row r="28" spans="1:11" s="6" customFormat="1" ht="16" x14ac:dyDescent="0.2">
      <c r="A28" s="6" t="s">
        <v>99</v>
      </c>
      <c r="C28" s="91"/>
      <c r="D28" s="93"/>
    </row>
    <row r="29" spans="1:11" s="6" customFormat="1" ht="16" x14ac:dyDescent="0.2">
      <c r="A29" s="6" t="s">
        <v>100</v>
      </c>
      <c r="C29" s="91"/>
      <c r="D29" s="93"/>
    </row>
    <row r="30" spans="1:11" s="6" customFormat="1" ht="16" x14ac:dyDescent="0.2">
      <c r="A30" s="6" t="s">
        <v>115</v>
      </c>
      <c r="C30" s="1"/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/>
    </row>
    <row r="35" spans="1:18" s="25" customFormat="1" ht="16" x14ac:dyDescent="0.2">
      <c r="A35" s="25" t="s">
        <v>106</v>
      </c>
      <c r="F35" s="1"/>
    </row>
    <row r="36" spans="1:18" s="25" customFormat="1" ht="16" x14ac:dyDescent="0.2">
      <c r="A36" s="25" t="s">
        <v>113</v>
      </c>
      <c r="F36" s="1"/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/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/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/>
    </row>
    <row r="43" spans="1:18" s="15" customFormat="1" ht="16" x14ac:dyDescent="0.2">
      <c r="A43" s="15" t="s">
        <v>91</v>
      </c>
      <c r="F43" s="1"/>
    </row>
    <row r="44" spans="1:18" s="15" customFormat="1" ht="16" x14ac:dyDescent="0.2">
      <c r="A44" s="15" t="s">
        <v>92</v>
      </c>
      <c r="F44" s="91"/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/>
    </row>
    <row r="47" spans="1:18" s="12" customFormat="1" ht="16" x14ac:dyDescent="0.2">
      <c r="A47" s="15" t="s">
        <v>32</v>
      </c>
      <c r="D47" s="10"/>
    </row>
    <row r="48" spans="1:18" s="12" customFormat="1" ht="16" x14ac:dyDescent="0.2">
      <c r="A48" s="15" t="s">
        <v>33</v>
      </c>
      <c r="D48" s="10"/>
    </row>
    <row r="49" spans="1:12" s="12" customFormat="1" ht="16" x14ac:dyDescent="0.2">
      <c r="A49" s="15" t="s">
        <v>34</v>
      </c>
      <c r="D49" s="10"/>
    </row>
    <row r="50" spans="1:12" s="12" customFormat="1" ht="16" x14ac:dyDescent="0.2">
      <c r="A50" s="15" t="s">
        <v>35</v>
      </c>
      <c r="D50" s="10"/>
    </row>
    <row r="51" spans="1:12" s="12" customFormat="1" ht="16" x14ac:dyDescent="0.2">
      <c r="A51" s="15" t="s">
        <v>36</v>
      </c>
      <c r="D51" s="10"/>
    </row>
    <row r="52" spans="1:12" s="12" customFormat="1" ht="16" x14ac:dyDescent="0.2">
      <c r="A52" s="15" t="s">
        <v>37</v>
      </c>
      <c r="D52" s="10"/>
    </row>
    <row r="53" spans="1:12" s="12" customFormat="1" ht="16" x14ac:dyDescent="0.2">
      <c r="A53" s="15" t="s">
        <v>38</v>
      </c>
      <c r="D53" s="10"/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/>
      <c r="G56" s="97"/>
      <c r="H56" s="97"/>
      <c r="I56" s="97"/>
      <c r="J56" s="94"/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/>
      <c r="G58" s="22" t="s">
        <v>26</v>
      </c>
      <c r="H58" s="1"/>
    </row>
    <row r="59" spans="1:12" s="18" customFormat="1" ht="16" x14ac:dyDescent="0.2">
      <c r="A59" s="20" t="s">
        <v>42</v>
      </c>
      <c r="F59" s="87"/>
      <c r="G59" s="88"/>
      <c r="H59" s="88"/>
      <c r="I59" s="89"/>
    </row>
    <row r="60" spans="1:12" s="18" customFormat="1" ht="16" x14ac:dyDescent="0.2">
      <c r="A60" s="20" t="s">
        <v>43</v>
      </c>
      <c r="F60" s="87"/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C29:D29"/>
    <mergeCell ref="C7:D7"/>
    <mergeCell ref="C23:D23"/>
    <mergeCell ref="C24:D24"/>
    <mergeCell ref="C26:D26"/>
    <mergeCell ref="C27:D27"/>
    <mergeCell ref="F60:I60"/>
    <mergeCell ref="F3:I3"/>
    <mergeCell ref="F4:I4"/>
    <mergeCell ref="F6:I6"/>
    <mergeCell ref="A1:R1"/>
    <mergeCell ref="F5:I5"/>
    <mergeCell ref="F7:I7"/>
    <mergeCell ref="F44:O44"/>
    <mergeCell ref="J56:L56"/>
    <mergeCell ref="F56:I56"/>
    <mergeCell ref="F59:I59"/>
    <mergeCell ref="C3:D3"/>
    <mergeCell ref="C4:D4"/>
    <mergeCell ref="C5:D5"/>
    <mergeCell ref="C6:D6"/>
    <mergeCell ref="C28:D28"/>
    <mergeCell ref="AG7:AJ7"/>
    <mergeCell ref="F2:I2"/>
    <mergeCell ref="S4:V4"/>
    <mergeCell ref="M37:Q37"/>
    <mergeCell ref="M38:Q38"/>
    <mergeCell ref="AG8:AJ8"/>
  </mergeCells>
  <pageMargins left="0.7" right="0.7" top="0.75" bottom="0.75" header="0.3" footer="0.3"/>
  <pageSetup paperSize="8" scale="5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0A63-FE40-0B4D-8C10-952FE99B8F5F}">
  <dimension ref="B2:G50"/>
  <sheetViews>
    <sheetView showGridLines="0" tabSelected="1" zoomScale="73" workbookViewId="0">
      <selection activeCell="L53" sqref="L53"/>
    </sheetView>
  </sheetViews>
  <sheetFormatPr baseColWidth="10" defaultRowHeight="15" x14ac:dyDescent="0.2"/>
  <cols>
    <col min="1" max="1" width="3" customWidth="1"/>
    <col min="2" max="2" width="50" customWidth="1"/>
    <col min="3" max="4" width="15.83203125" customWidth="1"/>
    <col min="5" max="7" width="11.6640625" customWidth="1"/>
  </cols>
  <sheetData>
    <row r="2" spans="2:7" ht="26" x14ac:dyDescent="0.3">
      <c r="B2" s="118" t="s">
        <v>218</v>
      </c>
      <c r="C2" s="118"/>
      <c r="D2" s="118"/>
      <c r="E2" s="118"/>
      <c r="F2" s="118"/>
      <c r="G2" s="118"/>
    </row>
    <row r="3" spans="2:7" ht="16" x14ac:dyDescent="0.2">
      <c r="B3" s="119" t="s">
        <v>219</v>
      </c>
      <c r="C3" s="119"/>
      <c r="D3" s="119"/>
      <c r="E3" s="119"/>
      <c r="F3" s="119"/>
      <c r="G3" s="119"/>
    </row>
    <row r="5" spans="2:7" x14ac:dyDescent="0.2">
      <c r="B5" s="120" t="s">
        <v>220</v>
      </c>
      <c r="C5" s="120"/>
      <c r="D5" s="120"/>
      <c r="E5" s="120"/>
      <c r="F5" s="120"/>
      <c r="G5" s="120"/>
    </row>
    <row r="7" spans="2:7" ht="19" x14ac:dyDescent="0.25">
      <c r="B7" s="116" t="s">
        <v>221</v>
      </c>
    </row>
    <row r="8" spans="2:7" x14ac:dyDescent="0.2">
      <c r="B8" s="121" t="s">
        <v>222</v>
      </c>
      <c r="C8" s="122" t="s">
        <v>223</v>
      </c>
      <c r="D8" s="122" t="s">
        <v>224</v>
      </c>
      <c r="E8" s="122" t="s">
        <v>225</v>
      </c>
      <c r="F8" s="122" t="s">
        <v>226</v>
      </c>
      <c r="G8" s="123" t="s">
        <v>227</v>
      </c>
    </row>
    <row r="9" spans="2:7" x14ac:dyDescent="0.2">
      <c r="B9" s="124" t="s">
        <v>228</v>
      </c>
      <c r="C9" s="125" t="str">
        <f>ROUND(AVERAGE(Data!B2:B15),1)&amp;" – "&amp;ROUND(AVERAGE(Data!C2:C15),1)</f>
        <v>2.1 – 0.4</v>
      </c>
      <c r="D9" s="126" t="str">
        <f>ROUND(AVERAGE(Data!B2:B15),0)&amp;"–"&amp;ROUND(AVERAGE(Data!C2:C15),0)</f>
        <v>2–0</v>
      </c>
      <c r="E9" s="125">
        <f>COUNTIF(Data!V2:V15,"H")</f>
        <v>14</v>
      </c>
      <c r="F9" s="125">
        <f>COUNTIF(Data!V2:V15,"U")</f>
        <v>0</v>
      </c>
      <c r="G9" s="127">
        <f>COUNTIF(Data!V2:V15,"B")</f>
        <v>0</v>
      </c>
    </row>
    <row r="10" spans="2:7" x14ac:dyDescent="0.2">
      <c r="B10" s="131" t="s">
        <v>229</v>
      </c>
      <c r="C10" s="132" t="str">
        <f>ROUND(AVERAGE(Data!D2:D15),1)&amp;" – "&amp;ROUND(AVERAGE(Data!E2:E15),1)</f>
        <v>1.5 – 0.7</v>
      </c>
      <c r="D10" s="133" t="str">
        <f>ROUND(AVERAGE(Data!D2:D15),0)&amp;"–"&amp;ROUND(AVERAGE(Data!E2:E15),0)</f>
        <v>2–1</v>
      </c>
      <c r="E10" s="132">
        <f>COUNTIF(Data!W2:W15,"H")</f>
        <v>10</v>
      </c>
      <c r="F10" s="132">
        <f>COUNTIF(Data!W2:W15,"U")</f>
        <v>4</v>
      </c>
      <c r="G10" s="134">
        <f>COUNTIF(Data!W2:W15,"B")</f>
        <v>0</v>
      </c>
    </row>
    <row r="11" spans="2:7" x14ac:dyDescent="0.2">
      <c r="B11" s="124" t="s">
        <v>230</v>
      </c>
      <c r="C11" s="125" t="str">
        <f>ROUND(AVERAGE(Data!F2:F15),1)&amp;" – "&amp;ROUND(AVERAGE(Data!G2:G15),1)</f>
        <v>3.3 – 0.1</v>
      </c>
      <c r="D11" s="126" t="str">
        <f>ROUND(AVERAGE(Data!F2:F15),0)&amp;"–"&amp;ROUND(AVERAGE(Data!G2:G15),0)</f>
        <v>3–0</v>
      </c>
      <c r="E11" s="125">
        <f>COUNTIF(Data!X2:X15,"H")</f>
        <v>13</v>
      </c>
      <c r="F11" s="125">
        <f>COUNTIF(Data!X2:X15,"U")</f>
        <v>1</v>
      </c>
      <c r="G11" s="127">
        <f>COUNTIF(Data!X2:X15,"B")</f>
        <v>0</v>
      </c>
    </row>
    <row r="12" spans="2:7" x14ac:dyDescent="0.2">
      <c r="B12" s="131" t="s">
        <v>231</v>
      </c>
      <c r="C12" s="132" t="str">
        <f>ROUND(AVERAGE(Data!H2:H15),1)&amp;" – "&amp;ROUND(AVERAGE(Data!I2:I15),1)</f>
        <v>2.1 – 0.6</v>
      </c>
      <c r="D12" s="133" t="str">
        <f>ROUND(AVERAGE(Data!H2:H15),0)&amp;"–"&amp;ROUND(AVERAGE(Data!I2:I15),0)</f>
        <v>2–1</v>
      </c>
      <c r="E12" s="132">
        <f>COUNTIF(Data!Y2:Y15,"H")</f>
        <v>13</v>
      </c>
      <c r="F12" s="132">
        <f>COUNTIF(Data!Y2:Y15,"U")</f>
        <v>0</v>
      </c>
      <c r="G12" s="134">
        <f>COUNTIF(Data!Y2:Y15,"B")</f>
        <v>1</v>
      </c>
    </row>
    <row r="13" spans="2:7" x14ac:dyDescent="0.2">
      <c r="B13" s="124" t="s">
        <v>232</v>
      </c>
      <c r="C13" s="125" t="str">
        <f>ROUND(AVERAGE(Data!J2:J15),1)&amp;" – "&amp;ROUND(AVERAGE(Data!K2:K15),1)</f>
        <v>1.5 – 0.7</v>
      </c>
      <c r="D13" s="126" t="str">
        <f>ROUND(AVERAGE(Data!J2:J15),0)&amp;"–"&amp;ROUND(AVERAGE(Data!K2:K15),0)</f>
        <v>2–1</v>
      </c>
      <c r="E13" s="125">
        <f>COUNTIF(Data!Z2:Z15,"H")</f>
        <v>7</v>
      </c>
      <c r="F13" s="125">
        <f>COUNTIF(Data!Z2:Z15,"U")</f>
        <v>6</v>
      </c>
      <c r="G13" s="127">
        <f>COUNTIF(Data!Z2:Z15,"B")</f>
        <v>1</v>
      </c>
    </row>
    <row r="14" spans="2:7" x14ac:dyDescent="0.2">
      <c r="B14" s="131" t="s">
        <v>233</v>
      </c>
      <c r="C14" s="132" t="str">
        <f>ROUND(AVERAGE(Data!L2:L15),1)&amp;" – "&amp;ROUND(AVERAGE(Data!M2:M15),1)</f>
        <v>2 – 0.6</v>
      </c>
      <c r="D14" s="133" t="str">
        <f>ROUND(AVERAGE(Data!L2:L15),0)&amp;"–"&amp;ROUND(AVERAGE(Data!M2:M15),0)</f>
        <v>2–1</v>
      </c>
      <c r="E14" s="132">
        <f>COUNTIF(Data!AA2:AA15,"H")</f>
        <v>13</v>
      </c>
      <c r="F14" s="132">
        <f>COUNTIF(Data!AA2:AA15,"U")</f>
        <v>1</v>
      </c>
      <c r="G14" s="134">
        <f>COUNTIF(Data!AA2:AA15,"B")</f>
        <v>0</v>
      </c>
    </row>
    <row r="15" spans="2:7" x14ac:dyDescent="0.2">
      <c r="B15" s="124" t="s">
        <v>234</v>
      </c>
      <c r="C15" s="125" t="str">
        <f>ROUND(AVERAGE(Data!N2:N15),1)&amp;" – "&amp;ROUND(AVERAGE(Data!O2:O15),1)</f>
        <v>1.5 – 0.9</v>
      </c>
      <c r="D15" s="126" t="str">
        <f>ROUND(AVERAGE(Data!N2:N15),0)&amp;"–"&amp;ROUND(AVERAGE(Data!O2:O15),0)</f>
        <v>2–1</v>
      </c>
      <c r="E15" s="125">
        <f>COUNTIF(Data!AB2:AB15,"H")</f>
        <v>7</v>
      </c>
      <c r="F15" s="125">
        <f>COUNTIF(Data!AB2:AB15,"U")</f>
        <v>6</v>
      </c>
      <c r="G15" s="127">
        <f>COUNTIF(Data!AB2:AB15,"B")</f>
        <v>1</v>
      </c>
    </row>
    <row r="16" spans="2:7" x14ac:dyDescent="0.2">
      <c r="B16" s="131" t="s">
        <v>235</v>
      </c>
      <c r="C16" s="132" t="str">
        <f>ROUND(AVERAGE(Data!P2:P15),1)&amp;" – "&amp;ROUND(AVERAGE(Data!Q2:Q15),1)</f>
        <v>0.4 – 1.9</v>
      </c>
      <c r="D16" s="133" t="str">
        <f>ROUND(AVERAGE(Data!P2:P15),0)&amp;"–"&amp;ROUND(AVERAGE(Data!Q2:Q15),0)</f>
        <v>0–2</v>
      </c>
      <c r="E16" s="132">
        <f>COUNTIF(Data!AC2:AC15,"H")</f>
        <v>0</v>
      </c>
      <c r="F16" s="132">
        <f>COUNTIF(Data!AC2:AC15,"U")</f>
        <v>0</v>
      </c>
      <c r="G16" s="134">
        <f>COUNTIF(Data!AC2:AC15,"B")</f>
        <v>14</v>
      </c>
    </row>
    <row r="17" spans="2:7" x14ac:dyDescent="0.2">
      <c r="B17" s="124" t="s">
        <v>236</v>
      </c>
      <c r="C17" s="125" t="str">
        <f>ROUND(AVERAGE(Data!R2:R15),1)&amp;" – "&amp;ROUND(AVERAGE(Data!S2:S15),1)</f>
        <v>1.1 – 2.3</v>
      </c>
      <c r="D17" s="126" t="str">
        <f>ROUND(AVERAGE(Data!R2:R15),0)&amp;"–"&amp;ROUND(AVERAGE(Data!S2:S15),0)</f>
        <v>1–2</v>
      </c>
      <c r="E17" s="125">
        <f>COUNTIF(Data!AD2:AD15,"H")</f>
        <v>1</v>
      </c>
      <c r="F17" s="125">
        <f>COUNTIF(Data!AD2:AD15,"U")</f>
        <v>2</v>
      </c>
      <c r="G17" s="127">
        <f>COUNTIF(Data!AD2:AD15,"B")</f>
        <v>11</v>
      </c>
    </row>
    <row r="18" spans="2:7" x14ac:dyDescent="0.2">
      <c r="B18" s="135" t="s">
        <v>237</v>
      </c>
      <c r="C18" s="136" t="str">
        <f>ROUND(AVERAGE(Data!T2:T15),1)&amp;" – "&amp;ROUND(AVERAGE(Data!U2:U15),1)</f>
        <v>0.7 – 1.9</v>
      </c>
      <c r="D18" s="137" t="str">
        <f>ROUND(AVERAGE(Data!T2:T15),0)&amp;"–"&amp;ROUND(AVERAGE(Data!U2:U15),0)</f>
        <v>1–2</v>
      </c>
      <c r="E18" s="136">
        <f>COUNTIF(Data!AE2:AE15,"H")</f>
        <v>0</v>
      </c>
      <c r="F18" s="136">
        <f>COUNTIF(Data!AE2:AE15,"U")</f>
        <v>1</v>
      </c>
      <c r="G18" s="138">
        <f>COUNTIF(Data!AE2:AE15,"B")</f>
        <v>13</v>
      </c>
    </row>
    <row r="20" spans="2:7" ht="19" x14ac:dyDescent="0.25">
      <c r="B20" s="116" t="s">
        <v>238</v>
      </c>
    </row>
    <row r="21" spans="2:7" x14ac:dyDescent="0.2">
      <c r="B21" s="121" t="s">
        <v>239</v>
      </c>
      <c r="C21" s="122" t="s">
        <v>240</v>
      </c>
      <c r="D21" s="123" t="s">
        <v>241</v>
      </c>
    </row>
    <row r="22" spans="2:7" x14ac:dyDescent="0.2">
      <c r="B22" s="124" t="s">
        <v>242</v>
      </c>
      <c r="C22" s="126" t="str" cm="1">
        <f t="array" ref="C22">INDEX(Data!AF2:AF15,MATCH(MAX(COUNTIF(Data!AF2:AF15,Data!AF2:AF15)),COUNTIF(Data!AF2:AF15,Data!AF2:AF15),0))</f>
        <v>Mexico</v>
      </c>
      <c r="D22" s="127" t="str" cm="1">
        <f t="array" ref="D22">MAX(COUNTIF(Data!AF2:AF15,Data!AF2:AF15))&amp;" av 14"</f>
        <v>10 av 14</v>
      </c>
    </row>
    <row r="23" spans="2:7" x14ac:dyDescent="0.2">
      <c r="B23" s="131" t="s">
        <v>243</v>
      </c>
      <c r="C23" s="133" t="str" cm="1">
        <f t="array" ref="C23">INDEX(Data!AG2:AG15,MATCH(MAX(COUNTIF(Data!AG2:AG15,Data!AG2:AG15)),COUNTIF(Data!AG2:AG15,Data!AG2:AG15),0))</f>
        <v>Canada</v>
      </c>
      <c r="D23" s="134" t="str" cm="1">
        <f t="array" ref="D23">MAX(COUNTIF(Data!AG2:AG15,Data!AG2:AG15))&amp;" av 14"</f>
        <v>6 av 14</v>
      </c>
    </row>
    <row r="24" spans="2:7" x14ac:dyDescent="0.2">
      <c r="B24" s="124" t="s">
        <v>244</v>
      </c>
      <c r="C24" s="126" t="str" cm="1">
        <f t="array" ref="C24">INDEX(Data!AH2:AH15,MATCH(MAX(COUNTIF(Data!AH2:AH15,Data!AH2:AH15)),COUNTIF(Data!AH2:AH15,Data!AH2:AH15),0))</f>
        <v>Ja</v>
      </c>
      <c r="D24" s="127" t="str" cm="1">
        <f t="array" ref="D24">MAX(COUNTIF(Data!AH2:AH15,Data!AH2:AH15))&amp;" av 14"</f>
        <v>9 av 14</v>
      </c>
    </row>
    <row r="25" spans="2:7" x14ac:dyDescent="0.2">
      <c r="B25" s="131" t="s">
        <v>245</v>
      </c>
      <c r="C25" s="133" t="str" cm="1">
        <f t="array" ref="C25">INDEX(Data!AI2:AI15,MATCH(MAX(COUNTIF(Data!AI2:AI15,Data!AI2:AI15)),COUNTIF(Data!AI2:AI15,Data!AI2:AI15),0))</f>
        <v>USA</v>
      </c>
      <c r="D25" s="134" t="str" cm="1">
        <f t="array" ref="D25">MAX(COUNTIF(Data!AI2:AI15,Data!AI2:AI15))&amp;" av 14"</f>
        <v>8 av 14</v>
      </c>
    </row>
    <row r="26" spans="2:7" x14ac:dyDescent="0.2">
      <c r="B26" s="124" t="s">
        <v>246</v>
      </c>
      <c r="C26" s="126" t="str" cm="1">
        <f t="array" ref="C26">INDEX(Data!AJ2:AJ15,MATCH(MAX(COUNTIF(Data!AJ2:AJ15,Data!AJ2:AJ15)),COUNTIF(Data!AJ2:AJ15,Data!AJ2:AJ15),0))</f>
        <v>Nederland</v>
      </c>
      <c r="D26" s="127" t="str" cm="1">
        <f t="array" ref="D26">MAX(COUNTIF(Data!AJ2:AJ15,Data!AJ2:AJ15))&amp;" av 14"</f>
        <v>14 av 14</v>
      </c>
    </row>
    <row r="27" spans="2:7" x14ac:dyDescent="0.2">
      <c r="B27" s="131" t="s">
        <v>247</v>
      </c>
      <c r="C27" s="133" t="str" cm="1">
        <f t="array" ref="C27">INDEX(Data!AK2:AK15,MATCH(MAX(COUNTIF(Data!AK2:AK15,Data!AK2:AK15)),COUNTIF(Data!AK2:AK15,Data!AK2:AK15),0))</f>
        <v>Belgia</v>
      </c>
      <c r="D27" s="134" t="str" cm="1">
        <f t="array" ref="D27">MAX(COUNTIF(Data!AK2:AK15,Data!AK2:AK15))&amp;" av 14"</f>
        <v>12 av 14</v>
      </c>
    </row>
    <row r="28" spans="2:7" x14ac:dyDescent="0.2">
      <c r="B28" s="124" t="s">
        <v>248</v>
      </c>
      <c r="C28" s="126" t="str" cm="1">
        <f t="array" ref="C28">INDEX(Data!AL2:AL15,MATCH(MAX(COUNTIF(Data!AL2:AL15,Data!AL2:AL15)),COUNTIF(Data!AL2:AL15,Data!AL2:AL15),0))</f>
        <v>Norge</v>
      </c>
      <c r="D28" s="127" t="str" cm="1">
        <f t="array" ref="D28">MAX(COUNTIF(Data!AL2:AL15,Data!AL2:AL15))&amp;" av 14"</f>
        <v>9 av 14</v>
      </c>
    </row>
    <row r="29" spans="2:7" x14ac:dyDescent="0.2">
      <c r="B29" s="135" t="s">
        <v>249</v>
      </c>
      <c r="C29" s="137" t="str" cm="1">
        <f t="array" ref="C29">INDEX(Data!AM2:AM15,MATCH(MAX(COUNTIF(Data!AM2:AM15,Data!AM2:AM15)),COUNTIF(Data!AM2:AM15,Data!AM2:AM15),0))</f>
        <v>Nei</v>
      </c>
      <c r="D29" s="138" t="str" cm="1">
        <f t="array" ref="D29">MAX(COUNTIF(Data!AM2:AM15,Data!AM2:AM15))&amp;" av 14"</f>
        <v>13 av 14</v>
      </c>
    </row>
    <row r="31" spans="2:7" ht="19" x14ac:dyDescent="0.25">
      <c r="B31" s="116" t="s">
        <v>250</v>
      </c>
    </row>
    <row r="32" spans="2:7" x14ac:dyDescent="0.2">
      <c r="B32" s="121" t="s">
        <v>239</v>
      </c>
      <c r="C32" s="122" t="s">
        <v>152</v>
      </c>
      <c r="D32" s="123" t="s">
        <v>153</v>
      </c>
    </row>
    <row r="33" spans="2:7" x14ac:dyDescent="0.2">
      <c r="B33" s="124" t="s">
        <v>251</v>
      </c>
      <c r="C33" s="125">
        <f>COUNTIF(Data!AN2:AN15,"Ja")</f>
        <v>3</v>
      </c>
      <c r="D33" s="127">
        <f>COUNTIF(Data!AN2:AN15,"Nei")</f>
        <v>11</v>
      </c>
    </row>
    <row r="34" spans="2:7" x14ac:dyDescent="0.2">
      <c r="B34" s="131" t="s">
        <v>252</v>
      </c>
      <c r="C34" s="132">
        <f>COUNTIF(Data!AO2:AO15,"Ja")</f>
        <v>10</v>
      </c>
      <c r="D34" s="134">
        <f>COUNTIF(Data!AO2:AO15,"Nei")</f>
        <v>4</v>
      </c>
    </row>
    <row r="35" spans="2:7" x14ac:dyDescent="0.2">
      <c r="B35" s="128" t="s">
        <v>253</v>
      </c>
      <c r="C35" s="129">
        <f>COUNTIF(Data!AP2:AP15,"Ja")</f>
        <v>3</v>
      </c>
      <c r="D35" s="130">
        <f>COUNTIF(Data!AP2:AP15,"Nei")</f>
        <v>11</v>
      </c>
    </row>
    <row r="37" spans="2:7" x14ac:dyDescent="0.2">
      <c r="B37" s="139" t="s">
        <v>254</v>
      </c>
      <c r="C37" s="140" t="str">
        <f>COUNTIF(Data!AQ2:AQ15,"England")&amp;" × England   ·   "&amp;COUNTIF(Data!AQ2:AQ15,"Norge")&amp;" × Norge   ·   "&amp;COUNTIF(Data!AQ2:AQ15,"Like langt")&amp;" × like langt"</f>
        <v>13 × England   ·   0 × Norge   ·   0 × like langt</v>
      </c>
      <c r="D37" s="140"/>
      <c r="E37" s="140"/>
      <c r="F37" s="140"/>
      <c r="G37" s="140"/>
    </row>
    <row r="38" spans="2:7" x14ac:dyDescent="0.2">
      <c r="B38" s="139" t="s">
        <v>255</v>
      </c>
      <c r="C38" s="140" t="str">
        <f>COUNTIF(Data!AR2:AR15,"Haaland")&amp;" × Haaland   ·   "&amp;COUNTIF(Data!AR2:AR15,"Sørloth")&amp;" × Sørloth   ·   "&amp;COUNTIF(Data!AR2:AR15,"En annen")&amp;" × en annen"</f>
        <v>12 × Haaland   ·   2 × Sørloth   ·   0 × en annen</v>
      </c>
      <c r="D38" s="140"/>
      <c r="E38" s="140"/>
      <c r="F38" s="140"/>
      <c r="G38" s="140"/>
    </row>
    <row r="40" spans="2:7" ht="19" x14ac:dyDescent="0.25">
      <c r="B40" s="116" t="s">
        <v>256</v>
      </c>
    </row>
    <row r="41" spans="2:7" x14ac:dyDescent="0.2">
      <c r="B41" s="141" t="s">
        <v>257</v>
      </c>
      <c r="C41" s="142"/>
      <c r="D41" s="142"/>
      <c r="E41" s="142"/>
      <c r="F41" s="142"/>
      <c r="G41" s="142"/>
    </row>
    <row r="42" spans="2:7" x14ac:dyDescent="0.2">
      <c r="B42" s="141" t="s">
        <v>258</v>
      </c>
      <c r="C42" s="142"/>
      <c r="D42" s="142"/>
      <c r="E42" s="142"/>
      <c r="F42" s="142"/>
      <c r="G42" s="142"/>
    </row>
    <row r="43" spans="2:7" x14ac:dyDescent="0.2">
      <c r="B43" s="141" t="s">
        <v>259</v>
      </c>
      <c r="C43" s="142"/>
      <c r="D43" s="142"/>
      <c r="E43" s="142"/>
      <c r="F43" s="142"/>
      <c r="G43" s="142"/>
    </row>
    <row r="44" spans="2:7" x14ac:dyDescent="0.2">
      <c r="B44" s="141" t="s">
        <v>260</v>
      </c>
      <c r="C44" s="142"/>
      <c r="D44" s="142"/>
      <c r="E44" s="142"/>
      <c r="F44" s="142"/>
      <c r="G44" s="142"/>
    </row>
    <row r="45" spans="2:7" x14ac:dyDescent="0.2">
      <c r="B45" s="141" t="s">
        <v>261</v>
      </c>
      <c r="C45" s="142"/>
      <c r="D45" s="142"/>
      <c r="G45" s="142"/>
    </row>
    <row r="46" spans="2:7" x14ac:dyDescent="0.2">
      <c r="B46" s="141" t="s">
        <v>262</v>
      </c>
      <c r="C46" s="142"/>
      <c r="D46" s="142"/>
      <c r="E46" s="142"/>
      <c r="F46" s="142"/>
      <c r="G46" s="142"/>
    </row>
    <row r="47" spans="2:7" x14ac:dyDescent="0.2">
      <c r="B47" s="141" t="s">
        <v>263</v>
      </c>
      <c r="C47" s="142"/>
      <c r="D47" s="142"/>
      <c r="E47" s="142"/>
      <c r="F47" s="142"/>
      <c r="G47" s="142"/>
    </row>
    <row r="48" spans="2:7" x14ac:dyDescent="0.2">
      <c r="B48" s="141" t="s">
        <v>264</v>
      </c>
      <c r="C48" s="142"/>
      <c r="D48" s="142"/>
      <c r="E48" s="142"/>
      <c r="F48" s="142"/>
      <c r="G48" s="142"/>
    </row>
    <row r="50" spans="2:2" x14ac:dyDescent="0.2">
      <c r="B50" s="117" t="s">
        <v>265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133B-A0E2-47D9-A034-EF38DD6CC31C}">
  <dimension ref="A8:B62"/>
  <sheetViews>
    <sheetView workbookViewId="0">
      <selection activeCell="A31" sqref="A31:XFD31"/>
    </sheetView>
  </sheetViews>
  <sheetFormatPr baseColWidth="10" defaultColWidth="11.5" defaultRowHeight="15" x14ac:dyDescent="0.2"/>
  <cols>
    <col min="1" max="1" width="85.5" customWidth="1"/>
  </cols>
  <sheetData>
    <row r="8" spans="1:2" ht="16" x14ac:dyDescent="0.2">
      <c r="A8" t="str">
        <f>'FIFA World cup 2026'!A9</f>
        <v>Gruppespillet:</v>
      </c>
      <c r="B8" s="16" t="s">
        <v>44</v>
      </c>
    </row>
    <row r="9" spans="1:2" x14ac:dyDescent="0.2">
      <c r="A9" t="str">
        <f>'FIFA World cup 2026'!A10</f>
        <v>(Tipp sluttresultat i kampene. Rett resultat - H/U/B - gir 1 poeng, rett målscore gir 1 poeng)</v>
      </c>
    </row>
    <row r="10" spans="1:2" x14ac:dyDescent="0.2">
      <c r="A10" t="str">
        <f>'FIFA World cup 2026'!A11</f>
        <v>Gruppe A: Torsdag 11.06.2026 21:00  Mexico - Sør-Afrika</v>
      </c>
      <c r="B10">
        <v>2</v>
      </c>
    </row>
    <row r="11" spans="1:2" x14ac:dyDescent="0.2">
      <c r="A11" t="str">
        <f>'FIFA World cup 2026'!A12</f>
        <v>Gruppe C: Søndag 14.06.2026 00:00  Brasil - Marokko</v>
      </c>
      <c r="B11">
        <v>2</v>
      </c>
    </row>
    <row r="12" spans="1:2" x14ac:dyDescent="0.2">
      <c r="A12" t="str">
        <f>'FIFA World cup 2026'!A13</f>
        <v>Gruppe H: Mandag 15.06.2026 18:00  Spania - Kapp Verde</v>
      </c>
      <c r="B12">
        <v>2</v>
      </c>
    </row>
    <row r="13" spans="1:2" x14ac:dyDescent="0.2">
      <c r="A13" t="str">
        <f>'FIFA World cup 2026'!A14</f>
        <v>Gruppe J: Tirsdag 17.06.2026 03:00  Argentina - Algerie</v>
      </c>
      <c r="B13">
        <v>2</v>
      </c>
    </row>
    <row r="14" spans="1:2" x14ac:dyDescent="0.2">
      <c r="A14" t="str">
        <f>'FIFA World cup 2026'!A15</f>
        <v>Gruppe L: Onsdag 17.06.2026 22:00  England - Kroatia</v>
      </c>
      <c r="B14">
        <v>2</v>
      </c>
    </row>
    <row r="15" spans="1:2" x14ac:dyDescent="0.2">
      <c r="A15" t="str">
        <f>'FIFA World cup 2026'!A16</f>
        <v>Gruppe F: Lørdag 20.06.2026 19:00  Nederland - Sverige</v>
      </c>
      <c r="B15">
        <v>2</v>
      </c>
    </row>
    <row r="16" spans="1:2" x14ac:dyDescent="0.2">
      <c r="A16" t="str">
        <f>'FIFA World cup 2026'!A17</f>
        <v>Gruppe I: Tirsdag 23.06.2026 02:00  Norge - Senegal</v>
      </c>
      <c r="B16">
        <v>2</v>
      </c>
    </row>
    <row r="17" spans="1:2" x14ac:dyDescent="0.2">
      <c r="A17" t="str">
        <f>'FIFA World cup 2026'!A18</f>
        <v>Gruppe E: Torsdag 25.06.2026 22:00  Ecuador - Tyskland</v>
      </c>
      <c r="B17">
        <v>2</v>
      </c>
    </row>
    <row r="18" spans="1:2" x14ac:dyDescent="0.2">
      <c r="A18" t="str">
        <f>'FIFA World cup 2026'!A19</f>
        <v>Gruppe I: Fredag 26.06.2026 21:00  Norge - Frankrike</v>
      </c>
      <c r="B18">
        <v>2</v>
      </c>
    </row>
    <row r="19" spans="1:2" x14ac:dyDescent="0.2">
      <c r="A19" t="str">
        <f>'FIFA World cup 2026'!A20</f>
        <v>Gruppe K: Lørdag 27.06.2026 02:00  Colombia - Portugal</v>
      </c>
      <c r="B19">
        <v>2</v>
      </c>
    </row>
    <row r="20" spans="1:2" ht="16" x14ac:dyDescent="0.2">
      <c r="B20" s="16"/>
    </row>
    <row r="21" spans="1:2" ht="16" x14ac:dyDescent="0.2">
      <c r="A21" t="str">
        <f>'FIFA World cup 2026'!A22</f>
        <v>(Tipp sluttresultater i gruppene, 2 poeng for hvert rett svar)</v>
      </c>
      <c r="B21" s="16"/>
    </row>
    <row r="22" spans="1:2" x14ac:dyDescent="0.2">
      <c r="A22" t="str">
        <f>'FIFA World cup 2026'!A23</f>
        <v>Hvem blir vinner i gruppe A?</v>
      </c>
      <c r="B22">
        <v>2</v>
      </c>
    </row>
    <row r="23" spans="1:2" x14ac:dyDescent="0.2">
      <c r="A23" t="str">
        <f>'FIFA World cup 2026'!A24</f>
        <v>Hvem blir toer i gruppe B?</v>
      </c>
      <c r="B23">
        <v>2</v>
      </c>
    </row>
    <row r="24" spans="1:2" x14ac:dyDescent="0.2">
      <c r="A24" t="str">
        <f>'FIFA World cup 2026'!A25</f>
        <v>Går 3. plass i gruppe C videre? (J/N)</v>
      </c>
      <c r="B24">
        <v>2</v>
      </c>
    </row>
    <row r="25" spans="1:2" x14ac:dyDescent="0.2">
      <c r="A25" t="str">
        <f>'FIFA World cup 2026'!A26</f>
        <v>Hvem blir vinner i gruppe D?</v>
      </c>
      <c r="B25">
        <v>2</v>
      </c>
    </row>
    <row r="26" spans="1:2" x14ac:dyDescent="0.2">
      <c r="A26" t="str">
        <f>'FIFA World cup 2026'!A27</f>
        <v>Hvem blir vinner i gruppe F?</v>
      </c>
      <c r="B26">
        <v>2</v>
      </c>
    </row>
    <row r="27" spans="1:2" x14ac:dyDescent="0.2">
      <c r="A27" t="str">
        <f>'FIFA World cup 2026'!A28</f>
        <v>Hvem blir vinner i gruppe G?</v>
      </c>
      <c r="B27">
        <v>2</v>
      </c>
    </row>
    <row r="28" spans="1:2" x14ac:dyDescent="0.2">
      <c r="A28" t="str">
        <f>'FIFA World cup 2026'!A29</f>
        <v>Hvem blir toer i gruppe I?</v>
      </c>
      <c r="B28">
        <v>2</v>
      </c>
    </row>
    <row r="29" spans="1:2" x14ac:dyDescent="0.2">
      <c r="A29" t="str">
        <f>'FIFA World cup 2026'!A30</f>
        <v>Går 3.plass i gruppe K videre? (J/N)</v>
      </c>
      <c r="B29">
        <v>2</v>
      </c>
    </row>
    <row r="31" spans="1:2" x14ac:dyDescent="0.2">
      <c r="A31" t="str">
        <f>'FIFA World cup 2026'!A32</f>
        <v>Norge:</v>
      </c>
    </row>
    <row r="32" spans="1:2" x14ac:dyDescent="0.2">
      <c r="A32" t="str">
        <f>'FIFA World cup 2026'!A33</f>
        <v>(2 poeng for hvert rett svar)</v>
      </c>
    </row>
    <row r="33" spans="1:2" x14ac:dyDescent="0.2">
      <c r="A33" t="str">
        <f>'FIFA World cup 2026'!A34</f>
        <v>Kommer Norge til å score 7 mål eller mer i gruppespillet? (J/N)</v>
      </c>
      <c r="B33">
        <v>2</v>
      </c>
    </row>
    <row r="34" spans="1:2" x14ac:dyDescent="0.2">
      <c r="A34" t="str">
        <f>'FIFA World cup 2026'!A35</f>
        <v>Kommer Norge til å slippe inn 4 mål eller mer i gruppespillet? (J/N)</v>
      </c>
      <c r="B34">
        <v>2</v>
      </c>
    </row>
    <row r="35" spans="1:2" x14ac:dyDescent="0.2">
      <c r="A35" t="str">
        <f>'FIFA World cup 2026'!A36</f>
        <v>Kommer Norge til å møte Brasil i finalespillet? (J/N)</v>
      </c>
      <c r="B35">
        <v>2</v>
      </c>
    </row>
    <row r="36" spans="1:2" x14ac:dyDescent="0.2">
      <c r="A36" t="str">
        <f>'FIFA World cup 2026'!A37</f>
        <v>Hvem når lengst i VM av Norge og England? (Kryss av)</v>
      </c>
      <c r="B36">
        <v>2</v>
      </c>
    </row>
    <row r="37" spans="1:2" x14ac:dyDescent="0.2">
      <c r="A37" t="str">
        <f>'FIFA World cup 2026'!A38</f>
        <v>Hvem blir Norges toppscorer? (Kryss av)</v>
      </c>
      <c r="B37">
        <v>2</v>
      </c>
    </row>
    <row r="38" spans="1:2" ht="16" x14ac:dyDescent="0.2">
      <c r="B38" s="16"/>
    </row>
    <row r="39" spans="1:2" x14ac:dyDescent="0.2">
      <c r="A39" t="str">
        <f>'FIFA World cup 2026'!A40</f>
        <v>Finalespillet:</v>
      </c>
    </row>
    <row r="40" spans="1:2" x14ac:dyDescent="0.2">
      <c r="A40" t="str">
        <f>'FIFA World cup 2026'!A41</f>
        <v>(2 poeng for hvert rett svar)</v>
      </c>
    </row>
    <row r="41" spans="1:2" x14ac:dyDescent="0.2">
      <c r="A41" t="str">
        <f>'FIFA World cup 2026'!A42</f>
        <v>Går Sverige videre fra gruppespillet? (J/N)</v>
      </c>
      <c r="B41">
        <v>2</v>
      </c>
    </row>
    <row r="42" spans="1:2" x14ac:dyDescent="0.2">
      <c r="A42" t="str">
        <f>'FIFA World cup 2026'!A43</f>
        <v>Hvor mange europeiske lag går til sekstendedelsfinale?</v>
      </c>
      <c r="B42">
        <v>2</v>
      </c>
    </row>
    <row r="43" spans="1:2" x14ac:dyDescent="0.2">
      <c r="A43" t="str">
        <f>'FIFA World cup 2026'!A44</f>
        <v>Hvilke av vertsnasjonene går videre til åttendedelsfinale?</v>
      </c>
      <c r="B43">
        <v>2</v>
      </c>
    </row>
    <row r="44" spans="1:2" x14ac:dyDescent="0.2">
      <c r="A44" t="str">
        <f>'FIFA World cup 2026'!A45</f>
        <v>Hvilke 8 land går videre til kvartfinaler? Fyll inn</v>
      </c>
    </row>
    <row r="45" spans="1:2" x14ac:dyDescent="0.2">
      <c r="A45" t="str">
        <f>'FIFA World cup 2026'!A46</f>
        <v>Lag 1:</v>
      </c>
      <c r="B45">
        <v>2</v>
      </c>
    </row>
    <row r="46" spans="1:2" x14ac:dyDescent="0.2">
      <c r="A46" t="str">
        <f>'FIFA World cup 2026'!A47</f>
        <v>Lag 2:</v>
      </c>
      <c r="B46">
        <v>2</v>
      </c>
    </row>
    <row r="47" spans="1:2" x14ac:dyDescent="0.2">
      <c r="A47" t="str">
        <f>'FIFA World cup 2026'!A48</f>
        <v>Lag 3:</v>
      </c>
      <c r="B47">
        <v>2</v>
      </c>
    </row>
    <row r="48" spans="1:2" x14ac:dyDescent="0.2">
      <c r="A48" t="str">
        <f>'FIFA World cup 2026'!A49</f>
        <v>Lag 4:</v>
      </c>
      <c r="B48">
        <v>2</v>
      </c>
    </row>
    <row r="49" spans="1:2" x14ac:dyDescent="0.2">
      <c r="A49" t="str">
        <f>'FIFA World cup 2026'!A50</f>
        <v>Lag 5:</v>
      </c>
      <c r="B49">
        <v>2</v>
      </c>
    </row>
    <row r="50" spans="1:2" x14ac:dyDescent="0.2">
      <c r="A50" t="str">
        <f>'FIFA World cup 2026'!A51</f>
        <v>Lag 6:</v>
      </c>
      <c r="B50">
        <v>2</v>
      </c>
    </row>
    <row r="51" spans="1:2" x14ac:dyDescent="0.2">
      <c r="A51" t="str">
        <f>'FIFA World cup 2026'!A52</f>
        <v>Lag 7:</v>
      </c>
      <c r="B51">
        <v>2</v>
      </c>
    </row>
    <row r="52" spans="1:2" x14ac:dyDescent="0.2">
      <c r="A52" t="str">
        <f>'FIFA World cup 2026'!A53</f>
        <v>Lag 8:</v>
      </c>
      <c r="B52">
        <v>2</v>
      </c>
    </row>
    <row r="55" spans="1:2" x14ac:dyDescent="0.2">
      <c r="A55" t="str">
        <f>'FIFA World cup 2026'!A55</f>
        <v>Finalen:</v>
      </c>
    </row>
    <row r="56" spans="1:2" x14ac:dyDescent="0.2">
      <c r="A56" t="str">
        <f>'FIFA World cup 2026'!A56</f>
        <v>Hvilke 2 lag møtes i finalen? (4 poeng)</v>
      </c>
      <c r="B56">
        <v>4</v>
      </c>
    </row>
    <row r="57" spans="1:2" x14ac:dyDescent="0.2">
      <c r="A57" t="str">
        <f>'FIFA World cup 2026'!A57</f>
        <v>(2 poeng for ene laget rett)</v>
      </c>
    </row>
    <row r="58" spans="1:2" x14ac:dyDescent="0.2">
      <c r="A58" t="str">
        <f>'FIFA World cup 2026'!A58</f>
        <v>Hva er målscore etter 90 min i finalen? (3 poeng)</v>
      </c>
      <c r="B58">
        <v>3</v>
      </c>
    </row>
    <row r="59" spans="1:2" x14ac:dyDescent="0.2">
      <c r="A59" t="str">
        <f>'FIFA World cup 2026'!A59</f>
        <v>Hvem blir verdensmester? (5 poeng)</v>
      </c>
      <c r="B59">
        <v>5</v>
      </c>
    </row>
    <row r="60" spans="1:2" x14ac:dyDescent="0.2">
      <c r="A60" t="str">
        <f>'FIFA World cup 2026'!A60</f>
        <v>Fra hvilket land kommer VMs toppscorer? (3 poeng)</v>
      </c>
      <c r="B60">
        <v>3</v>
      </c>
    </row>
    <row r="61" spans="1:2" ht="16" thickBot="1" x14ac:dyDescent="0.25">
      <c r="B61" s="17">
        <f>SUM(B10:B60)</f>
        <v>83</v>
      </c>
    </row>
    <row r="62" spans="1:2" ht="16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E114-0EBF-4C34-892D-67127F4BCBA5}">
  <sheetPr>
    <pageSetUpPr fitToPage="1"/>
  </sheetPr>
  <dimension ref="A1:CF64"/>
  <sheetViews>
    <sheetView topLeftCell="A17" zoomScale="78" zoomScaleNormal="75" workbookViewId="0">
      <selection activeCell="AF50" sqref="AF50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1</v>
      </c>
      <c r="G12" s="7" t="s">
        <v>26</v>
      </c>
      <c r="H12" s="1">
        <v>0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2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0</v>
      </c>
      <c r="G15" s="7" t="s">
        <v>26</v>
      </c>
      <c r="H15" s="1">
        <v>0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0</v>
      </c>
      <c r="G17" s="7" t="s">
        <v>26</v>
      </c>
      <c r="H17" s="1">
        <v>0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1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0</v>
      </c>
      <c r="G19" s="7" t="s">
        <v>26</v>
      </c>
      <c r="H19" s="1">
        <v>1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2</v>
      </c>
      <c r="G20" s="7" t="s">
        <v>26</v>
      </c>
      <c r="H20" s="1">
        <v>3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69</v>
      </c>
      <c r="D23" s="93"/>
    </row>
    <row r="24" spans="1:11" s="6" customFormat="1" ht="16" x14ac:dyDescent="0.2">
      <c r="A24" s="6" t="s">
        <v>28</v>
      </c>
      <c r="C24" s="91" t="s">
        <v>52</v>
      </c>
      <c r="D24" s="93"/>
    </row>
    <row r="25" spans="1:11" s="6" customFormat="1" ht="16" x14ac:dyDescent="0.2">
      <c r="A25" s="6" t="s">
        <v>114</v>
      </c>
      <c r="C25" s="1" t="s">
        <v>116</v>
      </c>
    </row>
    <row r="26" spans="1:11" s="6" customFormat="1" ht="16" x14ac:dyDescent="0.2">
      <c r="A26" s="6" t="s">
        <v>98</v>
      </c>
      <c r="C26" s="91" t="s">
        <v>72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17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116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116</v>
      </c>
    </row>
    <row r="43" spans="1:18" s="15" customFormat="1" ht="16" x14ac:dyDescent="0.2">
      <c r="A43" s="15" t="s">
        <v>91</v>
      </c>
      <c r="F43" s="1">
        <v>8</v>
      </c>
    </row>
    <row r="44" spans="1:18" s="15" customFormat="1" ht="16" x14ac:dyDescent="0.2">
      <c r="A44" s="15" t="s">
        <v>92</v>
      </c>
      <c r="F44" s="91" t="s">
        <v>19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49</v>
      </c>
    </row>
    <row r="47" spans="1:18" s="12" customFormat="1" ht="16" x14ac:dyDescent="0.2">
      <c r="A47" s="15" t="s">
        <v>32</v>
      </c>
      <c r="D47" s="10" t="s">
        <v>45</v>
      </c>
    </row>
    <row r="48" spans="1:18" s="12" customFormat="1" ht="16" x14ac:dyDescent="0.2">
      <c r="A48" s="15" t="s">
        <v>33</v>
      </c>
      <c r="D48" s="10" t="s">
        <v>12</v>
      </c>
    </row>
    <row r="49" spans="1:12" s="12" customFormat="1" ht="16" x14ac:dyDescent="0.2">
      <c r="A49" s="15" t="s">
        <v>34</v>
      </c>
      <c r="D49" s="10" t="s">
        <v>48</v>
      </c>
    </row>
    <row r="50" spans="1:12" s="12" customFormat="1" ht="16" x14ac:dyDescent="0.2">
      <c r="A50" s="15" t="s">
        <v>35</v>
      </c>
      <c r="D50" s="10" t="s">
        <v>11</v>
      </c>
    </row>
    <row r="51" spans="1:12" s="12" customFormat="1" ht="16" x14ac:dyDescent="0.2">
      <c r="A51" s="15" t="s">
        <v>36</v>
      </c>
      <c r="D51" s="10" t="s">
        <v>46</v>
      </c>
    </row>
    <row r="52" spans="1:12" s="12" customFormat="1" ht="16" x14ac:dyDescent="0.2">
      <c r="A52" s="15" t="s">
        <v>37</v>
      </c>
      <c r="D52" s="10" t="s">
        <v>118</v>
      </c>
    </row>
    <row r="53" spans="1:12" s="12" customFormat="1" ht="16" x14ac:dyDescent="0.2">
      <c r="A53" s="15" t="s">
        <v>38</v>
      </c>
      <c r="D53" s="10" t="s">
        <v>17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45</v>
      </c>
      <c r="G56" s="97"/>
      <c r="H56" s="97"/>
      <c r="I56" s="97"/>
      <c r="J56" s="94" t="s">
        <v>49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0</v>
      </c>
      <c r="G58" s="22" t="s">
        <v>26</v>
      </c>
      <c r="H58" s="1">
        <v>0</v>
      </c>
    </row>
    <row r="59" spans="1:12" s="18" customFormat="1" ht="16" x14ac:dyDescent="0.2">
      <c r="A59" s="20" t="s">
        <v>42</v>
      </c>
      <c r="F59" s="87" t="s">
        <v>49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12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EB55-DFF5-4E29-9537-F6B4A6631E82}">
  <sheetPr>
    <pageSetUpPr fitToPage="1"/>
  </sheetPr>
  <dimension ref="A1:CF64"/>
  <sheetViews>
    <sheetView zoomScale="78" zoomScaleNormal="75" workbookViewId="0">
      <selection activeCell="R32" sqref="R32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3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3</v>
      </c>
      <c r="G12" s="7" t="s">
        <v>26</v>
      </c>
      <c r="H12" s="1">
        <v>2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4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3</v>
      </c>
      <c r="G15" s="7" t="s">
        <v>26</v>
      </c>
      <c r="H15" s="1">
        <v>0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0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1</v>
      </c>
      <c r="G18" s="7" t="s">
        <v>26</v>
      </c>
      <c r="H18" s="1">
        <v>2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2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 t="s">
        <v>26</v>
      </c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52</v>
      </c>
      <c r="D24" s="93"/>
    </row>
    <row r="25" spans="1:11" s="6" customFormat="1" ht="16" x14ac:dyDescent="0.2">
      <c r="A25" s="6" t="s">
        <v>114</v>
      </c>
      <c r="C25" s="1" t="s">
        <v>119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119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119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1">
        <v>9</v>
      </c>
    </row>
    <row r="44" spans="1:18" s="15" customFormat="1" ht="16" x14ac:dyDescent="0.2">
      <c r="A44" s="15" t="s">
        <v>92</v>
      </c>
      <c r="F44" s="91" t="s">
        <v>120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46</v>
      </c>
    </row>
    <row r="47" spans="1:18" s="12" customFormat="1" ht="16" x14ac:dyDescent="0.2">
      <c r="A47" s="15" t="s">
        <v>32</v>
      </c>
      <c r="D47" s="10" t="s">
        <v>77</v>
      </c>
    </row>
    <row r="48" spans="1:18" s="12" customFormat="1" ht="16" x14ac:dyDescent="0.2">
      <c r="A48" s="15" t="s">
        <v>33</v>
      </c>
      <c r="D48" s="10" t="s">
        <v>49</v>
      </c>
    </row>
    <row r="49" spans="1:12" s="12" customFormat="1" ht="16" x14ac:dyDescent="0.2">
      <c r="A49" s="15" t="s">
        <v>34</v>
      </c>
      <c r="D49" s="10" t="s">
        <v>45</v>
      </c>
    </row>
    <row r="50" spans="1:12" s="12" customFormat="1" ht="16" x14ac:dyDescent="0.2">
      <c r="A50" s="15" t="s">
        <v>35</v>
      </c>
      <c r="D50" s="10" t="s">
        <v>10</v>
      </c>
    </row>
    <row r="51" spans="1:12" s="12" customFormat="1" ht="16" x14ac:dyDescent="0.2">
      <c r="A51" s="15" t="s">
        <v>36</v>
      </c>
      <c r="D51" s="10" t="s">
        <v>11</v>
      </c>
    </row>
    <row r="52" spans="1:12" s="12" customFormat="1" ht="16" x14ac:dyDescent="0.2">
      <c r="A52" s="15" t="s">
        <v>37</v>
      </c>
      <c r="D52" s="10" t="s">
        <v>53</v>
      </c>
    </row>
    <row r="53" spans="1:12" s="12" customFormat="1" ht="16" x14ac:dyDescent="0.2">
      <c r="A53" s="15" t="s">
        <v>38</v>
      </c>
      <c r="D53" s="10" t="s">
        <v>12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49</v>
      </c>
      <c r="G56" s="97"/>
      <c r="H56" s="97"/>
      <c r="I56" s="97"/>
      <c r="J56" s="94" t="s">
        <v>11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49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49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7B7B-46E2-4E6F-981C-3F0733B9DF11}">
  <sheetPr>
    <pageSetUpPr fitToPage="1"/>
  </sheetPr>
  <dimension ref="A1:CF64"/>
  <sheetViews>
    <sheetView zoomScale="78" zoomScaleNormal="75" workbookViewId="0">
      <selection activeCell="F60" sqref="F60:I60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.5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1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3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6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0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2</v>
      </c>
      <c r="G15" s="7" t="s">
        <v>26</v>
      </c>
      <c r="H15" s="1">
        <v>2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1</v>
      </c>
      <c r="G17" s="7" t="s">
        <v>26</v>
      </c>
      <c r="H17" s="1">
        <v>0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1</v>
      </c>
      <c r="G18" s="7" t="s">
        <v>26</v>
      </c>
      <c r="H18" s="1">
        <v>2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2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 t="s">
        <v>26</v>
      </c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52</v>
      </c>
      <c r="D24" s="93"/>
    </row>
    <row r="25" spans="1:11" s="6" customFormat="1" ht="16" x14ac:dyDescent="0.2">
      <c r="A25" s="6" t="s">
        <v>114</v>
      </c>
      <c r="C25" s="1" t="s">
        <v>119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119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1">
        <v>15</v>
      </c>
    </row>
    <row r="44" spans="1:18" s="15" customFormat="1" ht="16" x14ac:dyDescent="0.2">
      <c r="A44" s="15" t="s">
        <v>92</v>
      </c>
      <c r="F44" s="91" t="s">
        <v>18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11</v>
      </c>
    </row>
    <row r="47" spans="1:18" s="12" customFormat="1" ht="16" x14ac:dyDescent="0.2">
      <c r="A47" s="15" t="s">
        <v>32</v>
      </c>
      <c r="D47" s="10" t="s">
        <v>48</v>
      </c>
    </row>
    <row r="48" spans="1:18" s="12" customFormat="1" ht="16" x14ac:dyDescent="0.2">
      <c r="A48" s="15" t="s">
        <v>33</v>
      </c>
      <c r="D48" s="10" t="s">
        <v>45</v>
      </c>
    </row>
    <row r="49" spans="1:12" s="12" customFormat="1" ht="16" x14ac:dyDescent="0.2">
      <c r="A49" s="15" t="s">
        <v>34</v>
      </c>
      <c r="D49" s="10" t="s">
        <v>10</v>
      </c>
    </row>
    <row r="50" spans="1:12" s="12" customFormat="1" ht="16" x14ac:dyDescent="0.2">
      <c r="A50" s="15" t="s">
        <v>35</v>
      </c>
      <c r="D50" s="10" t="s">
        <v>49</v>
      </c>
    </row>
    <row r="51" spans="1:12" s="12" customFormat="1" ht="16" x14ac:dyDescent="0.2">
      <c r="A51" s="15" t="s">
        <v>36</v>
      </c>
      <c r="D51" s="10" t="s">
        <v>12</v>
      </c>
    </row>
    <row r="52" spans="1:12" s="12" customFormat="1" ht="16" x14ac:dyDescent="0.2">
      <c r="A52" s="15" t="s">
        <v>37</v>
      </c>
      <c r="D52" s="10" t="s">
        <v>46</v>
      </c>
    </row>
    <row r="53" spans="1:12" s="12" customFormat="1" ht="16" x14ac:dyDescent="0.2">
      <c r="A53" s="15" t="s">
        <v>38</v>
      </c>
      <c r="D53" s="10" t="s">
        <v>50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45</v>
      </c>
      <c r="G56" s="97"/>
      <c r="H56" s="97"/>
      <c r="I56" s="97"/>
      <c r="J56" s="94" t="s">
        <v>48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45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10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D3F0-0120-4ADE-B216-0B218943AB88}">
  <sheetPr>
    <pageSetUpPr fitToPage="1"/>
  </sheetPr>
  <dimension ref="A1:CF64"/>
  <sheetViews>
    <sheetView zoomScale="78" zoomScaleNormal="78" workbookViewId="0">
      <selection activeCell="E53" sqref="E53"/>
    </sheetView>
  </sheetViews>
  <sheetFormatPr baseColWidth="10" defaultColWidth="11.5" defaultRowHeight="15" x14ac:dyDescent="0.2"/>
  <cols>
    <col min="1" max="1" width="18.33203125" style="55" customWidth="1"/>
    <col min="2" max="2" width="21.5" style="55" customWidth="1"/>
    <col min="3" max="3" width="4.1640625" style="55" customWidth="1"/>
    <col min="4" max="4" width="16.33203125" style="55" customWidth="1"/>
    <col min="5" max="5" width="15.5" style="55" customWidth="1"/>
    <col min="6" max="6" width="3" style="55" customWidth="1"/>
    <col min="7" max="7" width="2.33203125" style="55" customWidth="1"/>
    <col min="8" max="8" width="3" style="55" customWidth="1"/>
    <col min="9" max="9" width="11.1640625" style="55" customWidth="1"/>
    <col min="10" max="10" width="3.6640625" style="55" customWidth="1"/>
    <col min="11" max="11" width="11.6640625" style="55" customWidth="1"/>
    <col min="12" max="13" width="3.5" style="55" customWidth="1"/>
    <col min="14" max="14" width="4.1640625" style="55" customWidth="1"/>
    <col min="15" max="15" width="3" style="55" customWidth="1"/>
    <col min="16" max="16" width="1.5" style="55" customWidth="1"/>
    <col min="17" max="17" width="2.5" style="55" customWidth="1"/>
    <col min="18" max="18" width="4" style="55" customWidth="1"/>
    <col min="19" max="19" width="3.6640625" style="55" customWidth="1"/>
    <col min="20" max="20" width="1.1640625" style="55" customWidth="1"/>
    <col min="21" max="21" width="4.1640625" style="55" customWidth="1"/>
    <col min="22" max="22" width="3" style="55" customWidth="1"/>
    <col min="23" max="23" width="1.33203125" style="55" customWidth="1"/>
    <col min="24" max="24" width="4.1640625" style="55" customWidth="1"/>
    <col min="25" max="25" width="7.1640625" style="55" customWidth="1"/>
    <col min="26" max="26" width="3.6640625" style="55" customWidth="1"/>
    <col min="27" max="27" width="1.1640625" style="55" customWidth="1"/>
    <col min="28" max="28" width="4.1640625" style="55" customWidth="1"/>
    <col min="29" max="29" width="3" style="55" customWidth="1"/>
    <col min="30" max="30" width="1.5" style="55" customWidth="1"/>
    <col min="31" max="31" width="2.5" style="55" customWidth="1"/>
    <col min="32" max="32" width="8" style="55" customWidth="1"/>
    <col min="33" max="33" width="3.6640625" style="55" customWidth="1"/>
    <col min="34" max="34" width="1.1640625" style="55" customWidth="1"/>
    <col min="35" max="35" width="4.1640625" style="55" customWidth="1"/>
    <col min="36" max="37" width="7.1640625" style="55" customWidth="1"/>
    <col min="38" max="38" width="2.5" style="55" customWidth="1"/>
    <col min="39" max="39" width="5.1640625" style="55" customWidth="1"/>
    <col min="40" max="40" width="3.6640625" style="55" customWidth="1"/>
    <col min="41" max="41" width="1.1640625" style="55" customWidth="1"/>
    <col min="42" max="42" width="4.1640625" style="55" customWidth="1"/>
    <col min="43" max="43" width="3" style="55" customWidth="1"/>
    <col min="44" max="44" width="1.33203125" style="55" customWidth="1"/>
    <col min="45" max="45" width="2.5" style="55" customWidth="1"/>
    <col min="46" max="46" width="4.5" style="55" customWidth="1"/>
    <col min="47" max="47" width="3.6640625" style="55" customWidth="1"/>
    <col min="48" max="48" width="1.1640625" style="55" customWidth="1"/>
    <col min="49" max="49" width="4.1640625" style="55" customWidth="1"/>
    <col min="50" max="50" width="3" style="55" customWidth="1"/>
    <col min="51" max="51" width="1.33203125" style="55" customWidth="1"/>
    <col min="52" max="52" width="2.5" style="55" customWidth="1"/>
    <col min="53" max="53" width="7.6640625" style="55" customWidth="1"/>
    <col min="54" max="54" width="3.6640625" style="55" customWidth="1"/>
    <col min="55" max="55" width="1.1640625" style="55" customWidth="1"/>
    <col min="56" max="56" width="4.1640625" style="55" customWidth="1"/>
    <col min="57" max="57" width="3" style="55" customWidth="1"/>
    <col min="58" max="58" width="1.5" style="55" customWidth="1"/>
    <col min="59" max="59" width="2.5" style="55" customWidth="1"/>
    <col min="60" max="60" width="6.5" style="55" customWidth="1"/>
    <col min="61" max="61" width="3.6640625" style="55" customWidth="1"/>
    <col min="62" max="62" width="1.1640625" style="55" customWidth="1"/>
    <col min="63" max="63" width="4.1640625" style="55" customWidth="1"/>
    <col min="64" max="64" width="3" style="55" customWidth="1"/>
    <col min="65" max="65" width="3.1640625" style="55" customWidth="1"/>
    <col min="66" max="66" width="2.5" style="55" customWidth="1"/>
    <col min="67" max="67" width="5.1640625" style="55" customWidth="1"/>
    <col min="68" max="68" width="3.6640625" style="55" customWidth="1"/>
    <col min="69" max="69" width="1.1640625" style="55" customWidth="1"/>
    <col min="70" max="70" width="4.1640625" style="55" customWidth="1"/>
    <col min="71" max="71" width="3" style="55" customWidth="1"/>
    <col min="72" max="72" width="1.5" style="55" customWidth="1"/>
    <col min="73" max="73" width="2.5" style="55" customWidth="1"/>
    <col min="74" max="74" width="5.1640625" style="55" customWidth="1"/>
    <col min="75" max="75" width="3.6640625" style="55" customWidth="1"/>
    <col min="76" max="76" width="1.1640625" style="55" customWidth="1"/>
    <col min="77" max="77" width="4.1640625" style="55" customWidth="1"/>
    <col min="78" max="78" width="3" style="55" customWidth="1"/>
    <col min="79" max="79" width="2.83203125" style="55" customWidth="1"/>
    <col min="80" max="80" width="2.5" style="55" customWidth="1"/>
    <col min="81" max="81" width="6.1640625" style="55" customWidth="1"/>
    <col min="82" max="82" width="3.6640625" style="55" customWidth="1"/>
    <col min="83" max="83" width="1.1640625" style="55" customWidth="1"/>
    <col min="84" max="84" width="4.1640625" style="55" customWidth="1"/>
    <col min="85" max="85" width="3" style="55" customWidth="1"/>
    <col min="86" max="86" width="1.5" style="55" customWidth="1"/>
    <col min="87" max="87" width="2.5" style="55" customWidth="1"/>
    <col min="88" max="88" width="5.1640625" style="55" customWidth="1"/>
    <col min="89" max="89" width="3.6640625" style="55" customWidth="1"/>
    <col min="90" max="90" width="1.1640625" style="55" customWidth="1"/>
    <col min="91" max="16384" width="11.5" style="55"/>
  </cols>
  <sheetData>
    <row r="1" spans="1:84" s="29" customFormat="1" ht="30" customHeight="1" x14ac:dyDescent="0.2">
      <c r="A1" s="103" t="s">
        <v>59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84" s="29" customFormat="1" ht="19" x14ac:dyDescent="0.25">
      <c r="A2" s="30" t="s">
        <v>0</v>
      </c>
      <c r="F2" s="104"/>
      <c r="G2" s="104"/>
      <c r="H2" s="104"/>
      <c r="I2" s="104"/>
      <c r="J2" s="31"/>
    </row>
    <row r="3" spans="1:84" s="29" customFormat="1" ht="16" x14ac:dyDescent="0.2">
      <c r="A3" s="32" t="s">
        <v>1</v>
      </c>
      <c r="B3" s="32" t="s">
        <v>2</v>
      </c>
      <c r="C3" s="102" t="s">
        <v>3</v>
      </c>
      <c r="D3" s="102"/>
      <c r="E3" s="32" t="s">
        <v>4</v>
      </c>
      <c r="F3" s="102" t="s">
        <v>5</v>
      </c>
      <c r="G3" s="102"/>
      <c r="H3" s="102"/>
      <c r="I3" s="102"/>
      <c r="J3" s="33"/>
      <c r="K3" s="32" t="s">
        <v>6</v>
      </c>
      <c r="N3" s="32" t="s">
        <v>7</v>
      </c>
      <c r="S3" s="32" t="s">
        <v>8</v>
      </c>
      <c r="Y3" s="32" t="s">
        <v>54</v>
      </c>
      <c r="Z3" s="32"/>
      <c r="AA3" s="32"/>
      <c r="AB3" s="32"/>
      <c r="AC3" s="32" t="s">
        <v>55</v>
      </c>
      <c r="AD3" s="32"/>
      <c r="AE3" s="32"/>
      <c r="AF3" s="32"/>
      <c r="AG3" s="32" t="s">
        <v>56</v>
      </c>
      <c r="AH3" s="32"/>
      <c r="AI3" s="32"/>
      <c r="AJ3" s="32"/>
      <c r="AK3" s="32" t="s">
        <v>57</v>
      </c>
      <c r="AL3" s="32"/>
    </row>
    <row r="4" spans="1:84" s="29" customFormat="1" ht="16" x14ac:dyDescent="0.2">
      <c r="A4" s="32" t="s">
        <v>19</v>
      </c>
      <c r="B4" s="32" t="s">
        <v>15</v>
      </c>
      <c r="C4" s="102" t="s">
        <v>48</v>
      </c>
      <c r="D4" s="102"/>
      <c r="E4" s="32" t="s">
        <v>18</v>
      </c>
      <c r="F4" s="102" t="s">
        <v>46</v>
      </c>
      <c r="G4" s="102"/>
      <c r="H4" s="102"/>
      <c r="I4" s="102"/>
      <c r="J4" s="33"/>
      <c r="K4" s="32" t="s">
        <v>50</v>
      </c>
      <c r="N4" s="32" t="s">
        <v>47</v>
      </c>
      <c r="S4" s="102" t="s">
        <v>49</v>
      </c>
      <c r="T4" s="102"/>
      <c r="U4" s="102"/>
      <c r="V4" s="102"/>
      <c r="Y4" s="32" t="s">
        <v>45</v>
      </c>
      <c r="AC4" s="32" t="s">
        <v>11</v>
      </c>
      <c r="AG4" s="32" t="s">
        <v>12</v>
      </c>
      <c r="AK4" s="32" t="s">
        <v>10</v>
      </c>
    </row>
    <row r="5" spans="1:84" s="29" customFormat="1" ht="16" x14ac:dyDescent="0.2">
      <c r="A5" s="32" t="s">
        <v>67</v>
      </c>
      <c r="B5" s="32" t="s">
        <v>9</v>
      </c>
      <c r="C5" s="102" t="s">
        <v>53</v>
      </c>
      <c r="D5" s="102"/>
      <c r="E5" s="32" t="s">
        <v>72</v>
      </c>
      <c r="F5" s="102" t="s">
        <v>73</v>
      </c>
      <c r="G5" s="102"/>
      <c r="H5" s="102"/>
      <c r="I5" s="102"/>
      <c r="J5" s="33"/>
      <c r="K5" s="32" t="s">
        <v>21</v>
      </c>
      <c r="N5" s="32" t="s">
        <v>14</v>
      </c>
      <c r="S5" s="32" t="s">
        <v>75</v>
      </c>
      <c r="Y5" s="32" t="s">
        <v>77</v>
      </c>
      <c r="AC5" s="32" t="s">
        <v>79</v>
      </c>
      <c r="AG5" s="32" t="s">
        <v>81</v>
      </c>
      <c r="AK5" s="32" t="s">
        <v>51</v>
      </c>
    </row>
    <row r="6" spans="1:84" s="29" customFormat="1" ht="16" x14ac:dyDescent="0.2">
      <c r="A6" s="32" t="s">
        <v>68</v>
      </c>
      <c r="B6" s="32" t="s">
        <v>70</v>
      </c>
      <c r="C6" s="102" t="s">
        <v>58</v>
      </c>
      <c r="D6" s="102"/>
      <c r="E6" s="32" t="s">
        <v>23</v>
      </c>
      <c r="F6" s="102" t="s">
        <v>13</v>
      </c>
      <c r="G6" s="102"/>
      <c r="H6" s="102"/>
      <c r="I6" s="102"/>
      <c r="J6" s="33"/>
      <c r="K6" s="32" t="s">
        <v>74</v>
      </c>
      <c r="N6" s="32" t="s">
        <v>61</v>
      </c>
      <c r="S6" s="32" t="s">
        <v>22</v>
      </c>
      <c r="Y6" s="32" t="s">
        <v>78</v>
      </c>
      <c r="AC6" s="32" t="s">
        <v>63</v>
      </c>
      <c r="AG6" s="32" t="s">
        <v>65</v>
      </c>
      <c r="AK6" s="32" t="s">
        <v>66</v>
      </c>
    </row>
    <row r="7" spans="1:84" s="29" customFormat="1" ht="16" x14ac:dyDescent="0.2">
      <c r="A7" s="32" t="s">
        <v>69</v>
      </c>
      <c r="B7" s="32" t="s">
        <v>52</v>
      </c>
      <c r="C7" s="102" t="s">
        <v>71</v>
      </c>
      <c r="D7" s="102"/>
      <c r="E7" s="32" t="s">
        <v>64</v>
      </c>
      <c r="F7" s="102" t="s">
        <v>60</v>
      </c>
      <c r="G7" s="102"/>
      <c r="H7" s="102"/>
      <c r="I7" s="102"/>
      <c r="J7" s="33"/>
      <c r="K7" s="32" t="s">
        <v>20</v>
      </c>
      <c r="N7" s="32" t="s">
        <v>62</v>
      </c>
      <c r="S7" s="32" t="s">
        <v>76</v>
      </c>
      <c r="Y7" s="32" t="s">
        <v>17</v>
      </c>
      <c r="AC7" s="32" t="s">
        <v>80</v>
      </c>
      <c r="AG7" s="102" t="s">
        <v>82</v>
      </c>
      <c r="AH7" s="102"/>
      <c r="AI7" s="102"/>
      <c r="AJ7" s="102"/>
      <c r="AK7" s="32" t="s">
        <v>16</v>
      </c>
    </row>
    <row r="8" spans="1:84" s="29" customFormat="1" ht="16" x14ac:dyDescent="0.2">
      <c r="A8" s="32"/>
      <c r="B8" s="34"/>
      <c r="C8" s="34"/>
      <c r="D8" s="34"/>
      <c r="E8" s="34"/>
      <c r="F8" s="34"/>
      <c r="G8" s="34"/>
      <c r="H8" s="34"/>
      <c r="L8" s="34"/>
      <c r="M8" s="34"/>
      <c r="N8" s="34"/>
      <c r="U8" s="34"/>
      <c r="AB8" s="34"/>
      <c r="AG8" s="102"/>
      <c r="AH8" s="102"/>
      <c r="AI8" s="102"/>
      <c r="AJ8" s="102"/>
      <c r="AP8" s="34"/>
      <c r="AW8" s="34"/>
      <c r="BD8" s="34"/>
      <c r="BK8" s="34"/>
      <c r="BR8" s="34"/>
      <c r="BY8" s="34"/>
      <c r="CF8" s="34"/>
    </row>
    <row r="9" spans="1:84" s="36" customFormat="1" ht="19" x14ac:dyDescent="0.25">
      <c r="A9" s="35" t="s">
        <v>24</v>
      </c>
    </row>
    <row r="10" spans="1:84" s="36" customFormat="1" ht="16" x14ac:dyDescent="0.2">
      <c r="A10" s="37" t="s">
        <v>25</v>
      </c>
    </row>
    <row r="11" spans="1:84" s="36" customFormat="1" ht="16" x14ac:dyDescent="0.2">
      <c r="A11" s="38" t="s">
        <v>121</v>
      </c>
      <c r="B11" s="38"/>
      <c r="C11" s="38"/>
      <c r="F11" s="39">
        <v>2</v>
      </c>
      <c r="G11" s="40" t="s">
        <v>26</v>
      </c>
      <c r="H11" s="39">
        <v>0</v>
      </c>
      <c r="I11" s="38"/>
      <c r="J11" s="38"/>
      <c r="K11" s="38"/>
    </row>
    <row r="12" spans="1:84" s="36" customFormat="1" ht="16" x14ac:dyDescent="0.2">
      <c r="A12" s="38" t="s">
        <v>122</v>
      </c>
      <c r="B12" s="38"/>
      <c r="C12" s="38"/>
      <c r="F12" s="39">
        <v>0</v>
      </c>
      <c r="G12" s="40" t="s">
        <v>26</v>
      </c>
      <c r="H12" s="39">
        <v>0</v>
      </c>
      <c r="I12" s="38"/>
      <c r="J12" s="38"/>
      <c r="K12" s="38"/>
    </row>
    <row r="13" spans="1:84" s="36" customFormat="1" ht="16" x14ac:dyDescent="0.2">
      <c r="A13" s="38" t="s">
        <v>123</v>
      </c>
      <c r="B13" s="38"/>
      <c r="C13" s="38"/>
      <c r="F13" s="39">
        <v>3</v>
      </c>
      <c r="G13" s="40" t="s">
        <v>26</v>
      </c>
      <c r="H13" s="39">
        <v>0</v>
      </c>
      <c r="I13" s="38"/>
      <c r="J13" s="38"/>
      <c r="K13" s="38"/>
    </row>
    <row r="14" spans="1:84" s="36" customFormat="1" ht="16" x14ac:dyDescent="0.2">
      <c r="A14" s="38" t="s">
        <v>124</v>
      </c>
      <c r="B14" s="38"/>
      <c r="C14" s="38"/>
      <c r="F14" s="39">
        <v>1</v>
      </c>
      <c r="G14" s="40" t="s">
        <v>26</v>
      </c>
      <c r="H14" s="39">
        <v>0</v>
      </c>
      <c r="I14" s="38"/>
      <c r="J14" s="38"/>
      <c r="K14" s="38"/>
    </row>
    <row r="15" spans="1:84" s="36" customFormat="1" ht="16" x14ac:dyDescent="0.2">
      <c r="A15" s="38" t="s">
        <v>125</v>
      </c>
      <c r="B15" s="38"/>
      <c r="C15" s="38"/>
      <c r="F15" s="39">
        <v>1</v>
      </c>
      <c r="G15" s="40" t="s">
        <v>26</v>
      </c>
      <c r="H15" s="39">
        <v>1</v>
      </c>
      <c r="I15" s="38"/>
      <c r="J15" s="38"/>
      <c r="K15" s="38"/>
    </row>
    <row r="16" spans="1:84" s="36" customFormat="1" ht="16" x14ac:dyDescent="0.2">
      <c r="A16" s="38" t="s">
        <v>126</v>
      </c>
      <c r="B16" s="38"/>
      <c r="C16" s="38"/>
      <c r="F16" s="39">
        <v>2</v>
      </c>
      <c r="G16" s="40" t="s">
        <v>26</v>
      </c>
      <c r="H16" s="39">
        <v>0</v>
      </c>
      <c r="I16" s="38"/>
      <c r="J16" s="38"/>
      <c r="K16" s="38"/>
    </row>
    <row r="17" spans="1:11" s="36" customFormat="1" ht="16" x14ac:dyDescent="0.2">
      <c r="A17" s="38" t="s">
        <v>127</v>
      </c>
      <c r="B17" s="38"/>
      <c r="C17" s="38"/>
      <c r="F17" s="39">
        <v>1</v>
      </c>
      <c r="G17" s="40" t="s">
        <v>26</v>
      </c>
      <c r="H17" s="39">
        <v>0</v>
      </c>
      <c r="I17" s="38"/>
      <c r="J17" s="38"/>
      <c r="K17" s="38"/>
    </row>
    <row r="18" spans="1:11" s="36" customFormat="1" ht="16" x14ac:dyDescent="0.2">
      <c r="A18" s="38" t="s">
        <v>128</v>
      </c>
      <c r="B18" s="38"/>
      <c r="C18" s="38"/>
      <c r="F18" s="39">
        <v>0</v>
      </c>
      <c r="G18" s="40" t="s">
        <v>26</v>
      </c>
      <c r="H18" s="39">
        <v>2</v>
      </c>
      <c r="I18" s="38"/>
      <c r="J18" s="38"/>
      <c r="K18" s="38"/>
    </row>
    <row r="19" spans="1:11" s="36" customFormat="1" ht="16" x14ac:dyDescent="0.2">
      <c r="A19" s="38" t="s">
        <v>129</v>
      </c>
      <c r="B19" s="38"/>
      <c r="C19" s="38"/>
      <c r="F19" s="39">
        <v>2</v>
      </c>
      <c r="G19" s="40" t="s">
        <v>26</v>
      </c>
      <c r="H19" s="39">
        <v>1</v>
      </c>
      <c r="I19" s="38"/>
      <c r="J19" s="38"/>
      <c r="K19" s="38"/>
    </row>
    <row r="20" spans="1:11" s="36" customFormat="1" ht="16" x14ac:dyDescent="0.2">
      <c r="A20" s="38" t="s">
        <v>130</v>
      </c>
      <c r="B20" s="38"/>
      <c r="C20" s="38"/>
      <c r="F20" s="39">
        <v>0</v>
      </c>
      <c r="G20" s="40" t="s">
        <v>26</v>
      </c>
      <c r="H20" s="39">
        <v>1</v>
      </c>
      <c r="I20" s="38"/>
      <c r="J20" s="38"/>
      <c r="K20" s="38"/>
    </row>
    <row r="21" spans="1:11" s="38" customFormat="1" ht="16" x14ac:dyDescent="0.2"/>
    <row r="22" spans="1:11" s="38" customFormat="1" ht="16" x14ac:dyDescent="0.2">
      <c r="A22" s="37" t="s">
        <v>27</v>
      </c>
    </row>
    <row r="23" spans="1:11" s="38" customFormat="1" ht="16" x14ac:dyDescent="0.2">
      <c r="A23" s="38" t="s">
        <v>97</v>
      </c>
      <c r="C23" s="99" t="s">
        <v>19</v>
      </c>
      <c r="D23" s="99"/>
    </row>
    <row r="24" spans="1:11" s="38" customFormat="1" ht="16" x14ac:dyDescent="0.2">
      <c r="A24" s="38" t="s">
        <v>28</v>
      </c>
      <c r="C24" s="99" t="s">
        <v>131</v>
      </c>
      <c r="D24" s="99"/>
    </row>
    <row r="25" spans="1:11" s="38" customFormat="1" ht="16" x14ac:dyDescent="0.2">
      <c r="A25" s="38" t="s">
        <v>114</v>
      </c>
      <c r="C25" s="39" t="s">
        <v>119</v>
      </c>
    </row>
    <row r="26" spans="1:11" s="38" customFormat="1" ht="16" x14ac:dyDescent="0.2">
      <c r="A26" s="38" t="s">
        <v>98</v>
      </c>
      <c r="C26" s="99" t="s">
        <v>64</v>
      </c>
      <c r="D26" s="99"/>
    </row>
    <row r="27" spans="1:11" s="38" customFormat="1" ht="16" x14ac:dyDescent="0.2">
      <c r="A27" s="38" t="s">
        <v>29</v>
      </c>
      <c r="C27" s="99" t="s">
        <v>50</v>
      </c>
      <c r="D27" s="99"/>
    </row>
    <row r="28" spans="1:11" s="38" customFormat="1" ht="16" x14ac:dyDescent="0.2">
      <c r="A28" s="38" t="s">
        <v>99</v>
      </c>
      <c r="C28" s="99" t="s">
        <v>47</v>
      </c>
      <c r="D28" s="99"/>
    </row>
    <row r="29" spans="1:11" s="38" customFormat="1" ht="16" x14ac:dyDescent="0.2">
      <c r="A29" s="38" t="s">
        <v>100</v>
      </c>
      <c r="C29" s="99" t="s">
        <v>17</v>
      </c>
      <c r="D29" s="99"/>
    </row>
    <row r="30" spans="1:11" s="38" customFormat="1" ht="16" x14ac:dyDescent="0.2">
      <c r="A30" s="38" t="s">
        <v>115</v>
      </c>
      <c r="C30" s="39" t="s">
        <v>119</v>
      </c>
    </row>
    <row r="31" spans="1:11" s="38" customFormat="1" ht="16" x14ac:dyDescent="0.2"/>
    <row r="32" spans="1:11" s="42" customFormat="1" ht="19" x14ac:dyDescent="0.25">
      <c r="A32" s="41" t="s">
        <v>93</v>
      </c>
    </row>
    <row r="33" spans="1:18" s="42" customFormat="1" ht="16" x14ac:dyDescent="0.2">
      <c r="A33" s="43" t="s">
        <v>39</v>
      </c>
    </row>
    <row r="34" spans="1:18" s="42" customFormat="1" ht="16" x14ac:dyDescent="0.2">
      <c r="A34" s="42" t="s">
        <v>110</v>
      </c>
      <c r="F34" s="39" t="s">
        <v>116</v>
      </c>
    </row>
    <row r="35" spans="1:18" s="42" customFormat="1" ht="16" x14ac:dyDescent="0.2">
      <c r="A35" s="42" t="s">
        <v>106</v>
      </c>
      <c r="F35" s="39" t="s">
        <v>116</v>
      </c>
    </row>
    <row r="36" spans="1:18" s="42" customFormat="1" ht="16" x14ac:dyDescent="0.2">
      <c r="A36" s="42" t="s">
        <v>113</v>
      </c>
      <c r="F36" s="39" t="s">
        <v>116</v>
      </c>
    </row>
    <row r="37" spans="1:18" s="42" customFormat="1" ht="16" x14ac:dyDescent="0.2">
      <c r="A37" s="42" t="s">
        <v>111</v>
      </c>
      <c r="I37" s="42" t="s">
        <v>93</v>
      </c>
      <c r="J37" s="39"/>
      <c r="K37" s="44" t="s">
        <v>112</v>
      </c>
      <c r="L37" s="39" t="s">
        <v>117</v>
      </c>
      <c r="M37" s="100" t="s">
        <v>104</v>
      </c>
      <c r="N37" s="100"/>
      <c r="O37" s="100"/>
      <c r="P37" s="100"/>
      <c r="Q37" s="100"/>
      <c r="R37" s="39"/>
    </row>
    <row r="38" spans="1:18" s="42" customFormat="1" ht="16" x14ac:dyDescent="0.2">
      <c r="A38" s="42" t="s">
        <v>101</v>
      </c>
      <c r="I38" s="42" t="s">
        <v>102</v>
      </c>
      <c r="J38" s="39" t="s">
        <v>117</v>
      </c>
      <c r="K38" s="44" t="s">
        <v>103</v>
      </c>
      <c r="L38" s="39"/>
      <c r="M38" s="100" t="s">
        <v>105</v>
      </c>
      <c r="N38" s="100"/>
      <c r="O38" s="100"/>
      <c r="P38" s="100"/>
      <c r="Q38" s="100"/>
      <c r="R38" s="39"/>
    </row>
    <row r="39" spans="1:18" s="42" customFormat="1" ht="16" x14ac:dyDescent="0.2"/>
    <row r="40" spans="1:18" s="46" customFormat="1" ht="19" x14ac:dyDescent="0.25">
      <c r="A40" s="45" t="s">
        <v>90</v>
      </c>
    </row>
    <row r="41" spans="1:18" s="46" customFormat="1" ht="16" x14ac:dyDescent="0.2">
      <c r="A41" s="47" t="s">
        <v>39</v>
      </c>
    </row>
    <row r="42" spans="1:18" s="46" customFormat="1" ht="16" x14ac:dyDescent="0.2">
      <c r="A42" s="48" t="s">
        <v>109</v>
      </c>
      <c r="F42" s="39" t="s">
        <v>116</v>
      </c>
    </row>
    <row r="43" spans="1:18" s="48" customFormat="1" ht="16" x14ac:dyDescent="0.2">
      <c r="A43" s="48" t="s">
        <v>91</v>
      </c>
      <c r="F43" s="39">
        <v>16</v>
      </c>
    </row>
    <row r="44" spans="1:18" s="48" customFormat="1" ht="16" x14ac:dyDescent="0.2">
      <c r="A44" s="48" t="s">
        <v>92</v>
      </c>
      <c r="F44" s="99" t="s">
        <v>19</v>
      </c>
      <c r="G44" s="99"/>
      <c r="H44" s="99"/>
      <c r="I44" s="99"/>
      <c r="J44" s="99"/>
      <c r="K44" s="99"/>
      <c r="L44" s="99"/>
      <c r="M44" s="99"/>
      <c r="N44" s="99"/>
      <c r="O44" s="99"/>
    </row>
    <row r="45" spans="1:18" s="46" customFormat="1" ht="16" x14ac:dyDescent="0.2">
      <c r="A45" s="48" t="s">
        <v>30</v>
      </c>
    </row>
    <row r="46" spans="1:18" s="46" customFormat="1" ht="16" x14ac:dyDescent="0.2">
      <c r="A46" s="48" t="s">
        <v>31</v>
      </c>
      <c r="D46" s="49" t="s">
        <v>49</v>
      </c>
    </row>
    <row r="47" spans="1:18" s="46" customFormat="1" ht="16" x14ac:dyDescent="0.2">
      <c r="A47" s="48" t="s">
        <v>32</v>
      </c>
      <c r="D47" s="49" t="s">
        <v>45</v>
      </c>
    </row>
    <row r="48" spans="1:18" s="46" customFormat="1" ht="16" x14ac:dyDescent="0.2">
      <c r="A48" s="48" t="s">
        <v>33</v>
      </c>
      <c r="D48" s="49" t="s">
        <v>11</v>
      </c>
    </row>
    <row r="49" spans="1:12" s="46" customFormat="1" ht="16" x14ac:dyDescent="0.2">
      <c r="A49" s="48" t="s">
        <v>34</v>
      </c>
      <c r="D49" s="49" t="s">
        <v>10</v>
      </c>
    </row>
    <row r="50" spans="1:12" s="46" customFormat="1" ht="16" x14ac:dyDescent="0.2">
      <c r="A50" s="48" t="s">
        <v>35</v>
      </c>
      <c r="D50" s="49" t="s">
        <v>48</v>
      </c>
    </row>
    <row r="51" spans="1:12" s="46" customFormat="1" ht="16" x14ac:dyDescent="0.2">
      <c r="A51" s="48" t="s">
        <v>36</v>
      </c>
      <c r="D51" s="49" t="s">
        <v>46</v>
      </c>
    </row>
    <row r="52" spans="1:12" s="46" customFormat="1" ht="16" x14ac:dyDescent="0.2">
      <c r="A52" s="48" t="s">
        <v>37</v>
      </c>
      <c r="D52" s="49" t="s">
        <v>53</v>
      </c>
    </row>
    <row r="53" spans="1:12" s="46" customFormat="1" ht="16" x14ac:dyDescent="0.2">
      <c r="A53" s="48" t="s">
        <v>38</v>
      </c>
      <c r="D53" s="49" t="s">
        <v>77</v>
      </c>
    </row>
    <row r="54" spans="1:12" s="46" customFormat="1" ht="16" x14ac:dyDescent="0.2">
      <c r="A54" s="48"/>
    </row>
    <row r="55" spans="1:12" s="51" customFormat="1" ht="19" x14ac:dyDescent="0.25">
      <c r="A55" s="50" t="s">
        <v>40</v>
      </c>
    </row>
    <row r="56" spans="1:12" s="51" customFormat="1" ht="16" x14ac:dyDescent="0.2">
      <c r="A56" s="52" t="s">
        <v>132</v>
      </c>
      <c r="F56" s="98" t="s">
        <v>49</v>
      </c>
      <c r="G56" s="98"/>
      <c r="H56" s="98"/>
      <c r="I56" s="98"/>
      <c r="J56" s="101" t="s">
        <v>10</v>
      </c>
      <c r="K56" s="101"/>
      <c r="L56" s="101"/>
    </row>
    <row r="57" spans="1:12" s="51" customFormat="1" ht="16" x14ac:dyDescent="0.2">
      <c r="A57" s="53" t="s">
        <v>108</v>
      </c>
    </row>
    <row r="58" spans="1:12" s="51" customFormat="1" ht="16" x14ac:dyDescent="0.2">
      <c r="A58" s="52" t="s">
        <v>133</v>
      </c>
      <c r="F58" s="39">
        <v>1</v>
      </c>
      <c r="G58" s="54" t="s">
        <v>26</v>
      </c>
      <c r="H58" s="39">
        <v>1</v>
      </c>
    </row>
    <row r="59" spans="1:12" s="51" customFormat="1" ht="16" x14ac:dyDescent="0.2">
      <c r="A59" s="52" t="s">
        <v>134</v>
      </c>
      <c r="F59" s="98" t="s">
        <v>10</v>
      </c>
      <c r="G59" s="98"/>
      <c r="H59" s="98"/>
      <c r="I59" s="98"/>
    </row>
    <row r="60" spans="1:12" s="51" customFormat="1" ht="16" x14ac:dyDescent="0.2">
      <c r="A60" s="52" t="s">
        <v>135</v>
      </c>
      <c r="F60" s="98" t="s">
        <v>77</v>
      </c>
      <c r="G60" s="98"/>
      <c r="H60" s="98"/>
      <c r="I60" s="98"/>
    </row>
    <row r="61" spans="1:12" s="51" customFormat="1" x14ac:dyDescent="0.2"/>
    <row r="62" spans="1:12" s="51" customFormat="1" x14ac:dyDescent="0.2"/>
    <row r="63" spans="1:12" s="51" customFormat="1" x14ac:dyDescent="0.2"/>
    <row r="64" spans="1:12" s="51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511811023622047" footer="0.511811023622047"/>
  <pageSetup paperSize="8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BE8-6416-4D2C-AC21-209B4F11F118}">
  <sheetPr>
    <pageSetUpPr fitToPage="1"/>
  </sheetPr>
  <dimension ref="A1:CF64"/>
  <sheetViews>
    <sheetView topLeftCell="A3" zoomScale="78" zoomScaleNormal="75" workbookViewId="0">
      <selection activeCell="N42" sqref="N42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.83203125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1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1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2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1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0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1</v>
      </c>
      <c r="G17" s="7" t="s">
        <v>26</v>
      </c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1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3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0</v>
      </c>
      <c r="G20" s="7" t="s">
        <v>26</v>
      </c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52</v>
      </c>
      <c r="D24" s="93"/>
    </row>
    <row r="25" spans="1:11" s="6" customFormat="1" ht="16" x14ac:dyDescent="0.2">
      <c r="A25" s="6" t="s">
        <v>114</v>
      </c>
      <c r="C25" s="1" t="s">
        <v>119</v>
      </c>
    </row>
    <row r="26" spans="1:11" s="6" customFormat="1" ht="16" x14ac:dyDescent="0.2">
      <c r="A26" s="6" t="s">
        <v>98</v>
      </c>
      <c r="C26" s="91" t="s">
        <v>72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/>
      <c r="M37" s="85" t="s">
        <v>104</v>
      </c>
      <c r="N37" s="86"/>
      <c r="O37" s="86"/>
      <c r="P37" s="86"/>
      <c r="Q37" s="86"/>
      <c r="R37" s="1" t="s">
        <v>117</v>
      </c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116</v>
      </c>
    </row>
    <row r="43" spans="1:18" s="15" customFormat="1" ht="16" x14ac:dyDescent="0.2">
      <c r="A43" s="15" t="s">
        <v>91</v>
      </c>
      <c r="F43" s="1">
        <v>13</v>
      </c>
    </row>
    <row r="44" spans="1:18" s="15" customFormat="1" ht="16" x14ac:dyDescent="0.2">
      <c r="A44" s="15" t="s">
        <v>92</v>
      </c>
      <c r="F44" s="91" t="s">
        <v>19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49</v>
      </c>
    </row>
    <row r="47" spans="1:18" s="12" customFormat="1" ht="16" x14ac:dyDescent="0.2">
      <c r="A47" s="15" t="s">
        <v>32</v>
      </c>
      <c r="D47" s="10" t="s">
        <v>12</v>
      </c>
    </row>
    <row r="48" spans="1:18" s="12" customFormat="1" ht="16" x14ac:dyDescent="0.2">
      <c r="A48" s="15" t="s">
        <v>33</v>
      </c>
      <c r="D48" s="10" t="s">
        <v>45</v>
      </c>
    </row>
    <row r="49" spans="1:12" s="12" customFormat="1" ht="16" x14ac:dyDescent="0.2">
      <c r="A49" s="15" t="s">
        <v>34</v>
      </c>
      <c r="D49" s="10" t="s">
        <v>50</v>
      </c>
    </row>
    <row r="50" spans="1:12" s="12" customFormat="1" ht="16" x14ac:dyDescent="0.2">
      <c r="A50" s="15" t="s">
        <v>35</v>
      </c>
      <c r="D50" s="10" t="s">
        <v>51</v>
      </c>
    </row>
    <row r="51" spans="1:12" s="12" customFormat="1" ht="16" x14ac:dyDescent="0.2">
      <c r="A51" s="15" t="s">
        <v>36</v>
      </c>
      <c r="D51" s="10" t="s">
        <v>17</v>
      </c>
    </row>
    <row r="52" spans="1:12" s="12" customFormat="1" ht="16" x14ac:dyDescent="0.2">
      <c r="A52" s="15" t="s">
        <v>37</v>
      </c>
      <c r="D52" s="10" t="s">
        <v>46</v>
      </c>
    </row>
    <row r="53" spans="1:12" s="12" customFormat="1" ht="16" x14ac:dyDescent="0.2">
      <c r="A53" s="15" t="s">
        <v>38</v>
      </c>
      <c r="D53" s="10" t="s">
        <v>11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49</v>
      </c>
      <c r="G56" s="97"/>
      <c r="H56" s="97"/>
      <c r="I56" s="97"/>
      <c r="J56" s="94" t="s">
        <v>45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1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45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45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04F9-BA2D-4181-AD67-22B65F6E8470}">
  <sheetPr>
    <pageSetUpPr fitToPage="1"/>
  </sheetPr>
  <dimension ref="A1:BE1000"/>
  <sheetViews>
    <sheetView workbookViewId="0">
      <selection sqref="A1:R1"/>
    </sheetView>
  </sheetViews>
  <sheetFormatPr baseColWidth="10" defaultColWidth="14.5" defaultRowHeight="15" customHeight="1" x14ac:dyDescent="0.2"/>
  <cols>
    <col min="1" max="1" width="18.33203125" style="57" customWidth="1"/>
    <col min="2" max="2" width="21.5" style="57" customWidth="1"/>
    <col min="3" max="3" width="4.33203125" style="57" customWidth="1"/>
    <col min="4" max="4" width="16.33203125" style="57" customWidth="1"/>
    <col min="5" max="5" width="15.5" style="57" customWidth="1"/>
    <col min="6" max="6" width="3" style="57" customWidth="1"/>
    <col min="7" max="7" width="2.33203125" style="57" customWidth="1"/>
    <col min="8" max="8" width="3" style="57" customWidth="1"/>
    <col min="9" max="9" width="11.33203125" style="57" customWidth="1"/>
    <col min="10" max="10" width="3.6640625" style="57" customWidth="1"/>
    <col min="11" max="11" width="11.6640625" style="57" customWidth="1"/>
    <col min="12" max="13" width="3.5" style="57" customWidth="1"/>
    <col min="14" max="14" width="4.33203125" style="57" customWidth="1"/>
    <col min="15" max="15" width="3" style="57" customWidth="1"/>
    <col min="16" max="16" width="1.5" style="57" customWidth="1"/>
    <col min="17" max="17" width="2.5" style="57" customWidth="1"/>
    <col min="18" max="18" width="4" style="57" customWidth="1"/>
    <col min="19" max="19" width="3.6640625" style="57" customWidth="1"/>
    <col min="20" max="20" width="1.1640625" style="57" customWidth="1"/>
    <col min="21" max="21" width="4.33203125" style="57" customWidth="1"/>
    <col min="22" max="22" width="3" style="57" customWidth="1"/>
    <col min="23" max="23" width="1.33203125" style="57" customWidth="1"/>
    <col min="24" max="24" width="4.33203125" style="57" customWidth="1"/>
    <col min="25" max="25" width="7.1640625" style="57" customWidth="1"/>
    <col min="26" max="26" width="3.6640625" style="57" customWidth="1"/>
    <col min="27" max="27" width="1.1640625" style="57" customWidth="1"/>
    <col min="28" max="28" width="4.33203125" style="57" customWidth="1"/>
    <col min="29" max="29" width="3" style="57" customWidth="1"/>
    <col min="30" max="30" width="1.5" style="57" customWidth="1"/>
    <col min="31" max="31" width="2.5" style="57" customWidth="1"/>
    <col min="32" max="32" width="8" style="57" customWidth="1"/>
    <col min="33" max="33" width="3.6640625" style="57" customWidth="1"/>
    <col min="34" max="34" width="1.1640625" style="57" customWidth="1"/>
    <col min="35" max="35" width="4.33203125" style="57" customWidth="1"/>
    <col min="36" max="36" width="7.33203125" style="57" customWidth="1"/>
    <col min="37" max="37" width="7.1640625" style="57" customWidth="1"/>
    <col min="38" max="38" width="2.5" style="57" customWidth="1"/>
    <col min="39" max="39" width="5.1640625" style="57" customWidth="1"/>
    <col min="40" max="40" width="3.6640625" style="57" customWidth="1"/>
    <col min="41" max="41" width="1.1640625" style="57" customWidth="1"/>
    <col min="42" max="42" width="4.33203125" style="57" customWidth="1"/>
    <col min="43" max="43" width="3" style="57" customWidth="1"/>
    <col min="44" max="44" width="1.33203125" style="57" customWidth="1"/>
    <col min="45" max="45" width="2.5" style="57" customWidth="1"/>
    <col min="46" max="46" width="4.5" style="57" customWidth="1"/>
    <col min="47" max="47" width="3.6640625" style="57" customWidth="1"/>
    <col min="48" max="48" width="1.1640625" style="57" customWidth="1"/>
    <col min="49" max="49" width="4.33203125" style="57" customWidth="1"/>
    <col min="50" max="50" width="3" style="57" customWidth="1"/>
    <col min="51" max="51" width="1.33203125" style="57" customWidth="1"/>
    <col min="52" max="52" width="2.5" style="57" customWidth="1"/>
    <col min="53" max="53" width="7.6640625" style="57" customWidth="1"/>
    <col min="54" max="54" width="3.6640625" style="57" customWidth="1"/>
    <col min="55" max="55" width="1.1640625" style="57" customWidth="1"/>
    <col min="56" max="56" width="4.33203125" style="57" customWidth="1"/>
    <col min="57" max="57" width="3" style="57" customWidth="1"/>
    <col min="58" max="16384" width="14.5" style="57"/>
  </cols>
  <sheetData>
    <row r="1" spans="1:57" ht="30" customHeight="1" x14ac:dyDescent="0.2">
      <c r="A1" s="112" t="s">
        <v>59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</row>
    <row r="2" spans="1:57" ht="14.25" customHeight="1" x14ac:dyDescent="0.25">
      <c r="A2" s="58" t="s">
        <v>0</v>
      </c>
      <c r="B2" s="56"/>
      <c r="C2" s="56"/>
      <c r="D2" s="56"/>
      <c r="E2" s="56"/>
      <c r="F2" s="113"/>
      <c r="G2" s="110"/>
      <c r="H2" s="110"/>
      <c r="I2" s="110"/>
      <c r="J2" s="59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</row>
    <row r="3" spans="1:57" ht="14.25" customHeight="1" x14ac:dyDescent="0.2">
      <c r="A3" s="60" t="s">
        <v>1</v>
      </c>
      <c r="B3" s="60" t="s">
        <v>2</v>
      </c>
      <c r="C3" s="111" t="s">
        <v>3</v>
      </c>
      <c r="D3" s="110"/>
      <c r="E3" s="60" t="s">
        <v>4</v>
      </c>
      <c r="F3" s="111" t="s">
        <v>5</v>
      </c>
      <c r="G3" s="110"/>
      <c r="H3" s="110"/>
      <c r="I3" s="110"/>
      <c r="J3" s="61"/>
      <c r="K3" s="60" t="s">
        <v>6</v>
      </c>
      <c r="L3" s="56"/>
      <c r="M3" s="56"/>
      <c r="N3" s="60" t="s">
        <v>7</v>
      </c>
      <c r="O3" s="56"/>
      <c r="P3" s="56"/>
      <c r="Q3" s="56"/>
      <c r="R3" s="56"/>
      <c r="S3" s="60" t="s">
        <v>8</v>
      </c>
      <c r="T3" s="56"/>
      <c r="U3" s="56"/>
      <c r="V3" s="56"/>
      <c r="W3" s="56"/>
      <c r="X3" s="56"/>
      <c r="Y3" s="60" t="s">
        <v>54</v>
      </c>
      <c r="Z3" s="60"/>
      <c r="AA3" s="60"/>
      <c r="AB3" s="60"/>
      <c r="AC3" s="60" t="s">
        <v>55</v>
      </c>
      <c r="AD3" s="60"/>
      <c r="AE3" s="60"/>
      <c r="AF3" s="60"/>
      <c r="AG3" s="60" t="s">
        <v>56</v>
      </c>
      <c r="AH3" s="60"/>
      <c r="AI3" s="60"/>
      <c r="AJ3" s="60"/>
      <c r="AK3" s="60" t="s">
        <v>57</v>
      </c>
      <c r="AL3" s="60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 spans="1:57" ht="14.25" customHeight="1" x14ac:dyDescent="0.2">
      <c r="A4" s="60" t="s">
        <v>19</v>
      </c>
      <c r="B4" s="60" t="s">
        <v>15</v>
      </c>
      <c r="C4" s="111" t="s">
        <v>48</v>
      </c>
      <c r="D4" s="110"/>
      <c r="E4" s="60" t="s">
        <v>18</v>
      </c>
      <c r="F4" s="111" t="s">
        <v>46</v>
      </c>
      <c r="G4" s="110"/>
      <c r="H4" s="110"/>
      <c r="I4" s="110"/>
      <c r="J4" s="61"/>
      <c r="K4" s="60" t="s">
        <v>50</v>
      </c>
      <c r="L4" s="56"/>
      <c r="M4" s="56"/>
      <c r="N4" s="60" t="s">
        <v>47</v>
      </c>
      <c r="O4" s="56"/>
      <c r="P4" s="56"/>
      <c r="Q4" s="56"/>
      <c r="R4" s="56"/>
      <c r="S4" s="111" t="s">
        <v>49</v>
      </c>
      <c r="T4" s="110"/>
      <c r="U4" s="110"/>
      <c r="V4" s="110"/>
      <c r="W4" s="56"/>
      <c r="X4" s="56"/>
      <c r="Y4" s="60" t="s">
        <v>45</v>
      </c>
      <c r="Z4" s="56"/>
      <c r="AA4" s="56"/>
      <c r="AB4" s="56"/>
      <c r="AC4" s="60" t="s">
        <v>11</v>
      </c>
      <c r="AD4" s="56"/>
      <c r="AE4" s="56"/>
      <c r="AF4" s="56"/>
      <c r="AG4" s="60" t="s">
        <v>12</v>
      </c>
      <c r="AH4" s="56"/>
      <c r="AI4" s="56"/>
      <c r="AJ4" s="56"/>
      <c r="AK4" s="60" t="s">
        <v>10</v>
      </c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 spans="1:57" ht="14.25" customHeight="1" x14ac:dyDescent="0.2">
      <c r="A5" s="60" t="s">
        <v>67</v>
      </c>
      <c r="B5" s="60" t="s">
        <v>9</v>
      </c>
      <c r="C5" s="111" t="s">
        <v>53</v>
      </c>
      <c r="D5" s="110"/>
      <c r="E5" s="60" t="s">
        <v>72</v>
      </c>
      <c r="F5" s="111" t="s">
        <v>73</v>
      </c>
      <c r="G5" s="110"/>
      <c r="H5" s="110"/>
      <c r="I5" s="110"/>
      <c r="J5" s="61"/>
      <c r="K5" s="60" t="s">
        <v>21</v>
      </c>
      <c r="L5" s="56"/>
      <c r="M5" s="56"/>
      <c r="N5" s="60" t="s">
        <v>14</v>
      </c>
      <c r="O5" s="56"/>
      <c r="P5" s="56"/>
      <c r="Q5" s="56"/>
      <c r="R5" s="56"/>
      <c r="S5" s="60" t="s">
        <v>75</v>
      </c>
      <c r="T5" s="56"/>
      <c r="U5" s="56"/>
      <c r="V5" s="56"/>
      <c r="W5" s="56"/>
      <c r="X5" s="56"/>
      <c r="Y5" s="60" t="s">
        <v>77</v>
      </c>
      <c r="Z5" s="56"/>
      <c r="AA5" s="56"/>
      <c r="AB5" s="56"/>
      <c r="AC5" s="60" t="s">
        <v>79</v>
      </c>
      <c r="AD5" s="56"/>
      <c r="AE5" s="56"/>
      <c r="AF5" s="56"/>
      <c r="AG5" s="60" t="s">
        <v>81</v>
      </c>
      <c r="AH5" s="56"/>
      <c r="AI5" s="56"/>
      <c r="AJ5" s="56"/>
      <c r="AK5" s="60" t="s">
        <v>51</v>
      </c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 spans="1:57" ht="14.25" customHeight="1" x14ac:dyDescent="0.2">
      <c r="A6" s="60" t="s">
        <v>68</v>
      </c>
      <c r="B6" s="60" t="s">
        <v>70</v>
      </c>
      <c r="C6" s="111" t="s">
        <v>58</v>
      </c>
      <c r="D6" s="110"/>
      <c r="E6" s="60" t="s">
        <v>23</v>
      </c>
      <c r="F6" s="111" t="s">
        <v>13</v>
      </c>
      <c r="G6" s="110"/>
      <c r="H6" s="110"/>
      <c r="I6" s="110"/>
      <c r="J6" s="61"/>
      <c r="K6" s="60" t="s">
        <v>74</v>
      </c>
      <c r="L6" s="56"/>
      <c r="M6" s="56"/>
      <c r="N6" s="60" t="s">
        <v>61</v>
      </c>
      <c r="O6" s="56"/>
      <c r="P6" s="56"/>
      <c r="Q6" s="56"/>
      <c r="R6" s="56"/>
      <c r="S6" s="60" t="s">
        <v>22</v>
      </c>
      <c r="T6" s="56"/>
      <c r="U6" s="56"/>
      <c r="V6" s="56"/>
      <c r="W6" s="56"/>
      <c r="X6" s="56"/>
      <c r="Y6" s="60" t="s">
        <v>78</v>
      </c>
      <c r="Z6" s="56"/>
      <c r="AA6" s="56"/>
      <c r="AB6" s="56"/>
      <c r="AC6" s="60" t="s">
        <v>63</v>
      </c>
      <c r="AD6" s="56"/>
      <c r="AE6" s="56"/>
      <c r="AF6" s="56"/>
      <c r="AG6" s="60" t="s">
        <v>65</v>
      </c>
      <c r="AH6" s="56"/>
      <c r="AI6" s="56"/>
      <c r="AJ6" s="56"/>
      <c r="AK6" s="60" t="s">
        <v>66</v>
      </c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 spans="1:57" ht="14.25" customHeight="1" x14ac:dyDescent="0.2">
      <c r="A7" s="60" t="s">
        <v>69</v>
      </c>
      <c r="B7" s="60" t="s">
        <v>52</v>
      </c>
      <c r="C7" s="111" t="s">
        <v>71</v>
      </c>
      <c r="D7" s="110"/>
      <c r="E7" s="60" t="s">
        <v>64</v>
      </c>
      <c r="F7" s="111" t="s">
        <v>60</v>
      </c>
      <c r="G7" s="110"/>
      <c r="H7" s="110"/>
      <c r="I7" s="110"/>
      <c r="J7" s="61"/>
      <c r="K7" s="60" t="s">
        <v>20</v>
      </c>
      <c r="L7" s="56"/>
      <c r="M7" s="56"/>
      <c r="N7" s="60" t="s">
        <v>62</v>
      </c>
      <c r="O7" s="56"/>
      <c r="P7" s="56"/>
      <c r="Q7" s="56"/>
      <c r="R7" s="56"/>
      <c r="S7" s="60" t="s">
        <v>76</v>
      </c>
      <c r="T7" s="56"/>
      <c r="U7" s="56"/>
      <c r="V7" s="56"/>
      <c r="W7" s="56"/>
      <c r="X7" s="56"/>
      <c r="Y7" s="60" t="s">
        <v>17</v>
      </c>
      <c r="Z7" s="56"/>
      <c r="AA7" s="56"/>
      <c r="AB7" s="56"/>
      <c r="AC7" s="60" t="s">
        <v>80</v>
      </c>
      <c r="AD7" s="56"/>
      <c r="AE7" s="56"/>
      <c r="AF7" s="56"/>
      <c r="AG7" s="111" t="s">
        <v>82</v>
      </c>
      <c r="AH7" s="110"/>
      <c r="AI7" s="110"/>
      <c r="AJ7" s="110"/>
      <c r="AK7" s="60" t="s">
        <v>16</v>
      </c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 ht="14.25" customHeight="1" x14ac:dyDescent="0.2">
      <c r="A8" s="60"/>
      <c r="B8" s="62"/>
      <c r="C8" s="62"/>
      <c r="D8" s="62"/>
      <c r="E8" s="62"/>
      <c r="F8" s="62"/>
      <c r="G8" s="62"/>
      <c r="H8" s="62"/>
      <c r="I8" s="56"/>
      <c r="J8" s="56"/>
      <c r="K8" s="56"/>
      <c r="L8" s="62"/>
      <c r="M8" s="62"/>
      <c r="N8" s="62"/>
      <c r="O8" s="56"/>
      <c r="P8" s="56"/>
      <c r="Q8" s="56"/>
      <c r="R8" s="56"/>
      <c r="S8" s="56"/>
      <c r="T8" s="56"/>
      <c r="U8" s="62"/>
      <c r="V8" s="56"/>
      <c r="W8" s="56"/>
      <c r="X8" s="56"/>
      <c r="Y8" s="56"/>
      <c r="Z8" s="56"/>
      <c r="AA8" s="56"/>
      <c r="AB8" s="62"/>
      <c r="AC8" s="56"/>
      <c r="AD8" s="56"/>
      <c r="AE8" s="56"/>
      <c r="AF8" s="56"/>
      <c r="AG8" s="111"/>
      <c r="AH8" s="110"/>
      <c r="AI8" s="110"/>
      <c r="AJ8" s="110"/>
      <c r="AK8" s="56"/>
      <c r="AL8" s="56"/>
      <c r="AM8" s="56"/>
      <c r="AN8" s="56"/>
      <c r="AO8" s="56"/>
      <c r="AP8" s="62"/>
      <c r="AQ8" s="56"/>
      <c r="AR8" s="56"/>
      <c r="AS8" s="56"/>
      <c r="AT8" s="56"/>
      <c r="AU8" s="56"/>
      <c r="AV8" s="56"/>
      <c r="AW8" s="62"/>
      <c r="AX8" s="56"/>
      <c r="AY8" s="56"/>
      <c r="AZ8" s="56"/>
      <c r="BA8" s="56"/>
      <c r="BB8" s="56"/>
      <c r="BC8" s="56"/>
      <c r="BD8" s="62"/>
      <c r="BE8" s="56"/>
    </row>
    <row r="9" spans="1:57" ht="14.25" customHeight="1" x14ac:dyDescent="0.25">
      <c r="A9" s="63" t="s">
        <v>24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spans="1:57" ht="14.25" customHeight="1" x14ac:dyDescent="0.2">
      <c r="A10" s="65" t="s">
        <v>25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spans="1:57" ht="14.25" customHeight="1" x14ac:dyDescent="0.2">
      <c r="A11" s="66" t="s">
        <v>136</v>
      </c>
      <c r="B11" s="66"/>
      <c r="C11" s="66"/>
      <c r="D11" s="64"/>
      <c r="E11" s="64"/>
      <c r="F11" s="67">
        <v>1</v>
      </c>
      <c r="G11" s="68" t="s">
        <v>26</v>
      </c>
      <c r="H11" s="67">
        <v>0</v>
      </c>
      <c r="I11" s="66"/>
      <c r="J11" s="66"/>
      <c r="K11" s="66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spans="1:57" ht="14.25" customHeight="1" x14ac:dyDescent="0.2">
      <c r="A12" s="66" t="s">
        <v>137</v>
      </c>
      <c r="B12" s="66"/>
      <c r="C12" s="66"/>
      <c r="D12" s="64"/>
      <c r="E12" s="64"/>
      <c r="F12" s="67">
        <v>2</v>
      </c>
      <c r="G12" s="68" t="s">
        <v>26</v>
      </c>
      <c r="H12" s="67">
        <v>1</v>
      </c>
      <c r="I12" s="66"/>
      <c r="J12" s="66"/>
      <c r="K12" s="66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spans="1:57" ht="14.25" customHeight="1" x14ac:dyDescent="0.2">
      <c r="A13" s="66" t="s">
        <v>138</v>
      </c>
      <c r="B13" s="66"/>
      <c r="C13" s="66"/>
      <c r="D13" s="64"/>
      <c r="E13" s="64"/>
      <c r="F13" s="67">
        <v>1</v>
      </c>
      <c r="G13" s="68" t="s">
        <v>26</v>
      </c>
      <c r="H13" s="67">
        <v>1</v>
      </c>
      <c r="I13" s="66"/>
      <c r="J13" s="66"/>
      <c r="K13" s="66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spans="1:57" ht="14.25" customHeight="1" x14ac:dyDescent="0.2">
      <c r="A14" s="66" t="s">
        <v>139</v>
      </c>
      <c r="B14" s="66"/>
      <c r="C14" s="66"/>
      <c r="D14" s="64"/>
      <c r="E14" s="64"/>
      <c r="F14" s="67">
        <v>0</v>
      </c>
      <c r="G14" s="68" t="s">
        <v>26</v>
      </c>
      <c r="H14" s="67">
        <v>1</v>
      </c>
      <c r="I14" s="66"/>
      <c r="J14" s="66"/>
      <c r="K14" s="66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spans="1:57" ht="14.25" customHeight="1" x14ac:dyDescent="0.2">
      <c r="A15" s="66" t="s">
        <v>140</v>
      </c>
      <c r="B15" s="66"/>
      <c r="C15" s="66"/>
      <c r="D15" s="64"/>
      <c r="E15" s="64"/>
      <c r="F15" s="67">
        <v>3</v>
      </c>
      <c r="G15" s="68" t="s">
        <v>26</v>
      </c>
      <c r="H15" s="67">
        <v>0</v>
      </c>
      <c r="I15" s="66"/>
      <c r="J15" s="66"/>
      <c r="K15" s="66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spans="1:57" ht="14.25" customHeight="1" x14ac:dyDescent="0.2">
      <c r="A16" s="66" t="s">
        <v>141</v>
      </c>
      <c r="B16" s="66"/>
      <c r="C16" s="66"/>
      <c r="D16" s="64"/>
      <c r="E16" s="64"/>
      <c r="F16" s="67">
        <v>2</v>
      </c>
      <c r="G16" s="68" t="s">
        <v>26</v>
      </c>
      <c r="H16" s="67">
        <v>1</v>
      </c>
      <c r="I16" s="66"/>
      <c r="J16" s="66"/>
      <c r="K16" s="66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spans="1:57" ht="14.25" customHeight="1" x14ac:dyDescent="0.2">
      <c r="A17" s="66" t="s">
        <v>142</v>
      </c>
      <c r="B17" s="66"/>
      <c r="C17" s="66"/>
      <c r="D17" s="64"/>
      <c r="E17" s="64"/>
      <c r="F17" s="67">
        <v>2</v>
      </c>
      <c r="G17" s="68" t="s">
        <v>26</v>
      </c>
      <c r="H17" s="67">
        <v>2</v>
      </c>
      <c r="I17" s="66"/>
      <c r="J17" s="66"/>
      <c r="K17" s="66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spans="1:57" ht="14.25" customHeight="1" x14ac:dyDescent="0.2">
      <c r="A18" s="66" t="s">
        <v>143</v>
      </c>
      <c r="B18" s="66"/>
      <c r="C18" s="66"/>
      <c r="D18" s="64"/>
      <c r="E18" s="64"/>
      <c r="F18" s="67">
        <v>0</v>
      </c>
      <c r="G18" s="68" t="s">
        <v>26</v>
      </c>
      <c r="H18" s="67">
        <v>1</v>
      </c>
      <c r="I18" s="66"/>
      <c r="J18" s="66"/>
      <c r="K18" s="66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spans="1:57" ht="14.25" customHeight="1" x14ac:dyDescent="0.2">
      <c r="A19" s="66" t="s">
        <v>144</v>
      </c>
      <c r="B19" s="66"/>
      <c r="C19" s="66"/>
      <c r="D19" s="64"/>
      <c r="E19" s="64"/>
      <c r="F19" s="67">
        <v>1</v>
      </c>
      <c r="G19" s="68" t="s">
        <v>26</v>
      </c>
      <c r="H19" s="67">
        <v>3</v>
      </c>
      <c r="I19" s="66"/>
      <c r="J19" s="66"/>
      <c r="K19" s="66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spans="1:57" ht="14.25" customHeight="1" x14ac:dyDescent="0.2">
      <c r="A20" s="66" t="s">
        <v>145</v>
      </c>
      <c r="B20" s="66"/>
      <c r="C20" s="66"/>
      <c r="D20" s="64"/>
      <c r="E20" s="64"/>
      <c r="F20" s="67">
        <v>0</v>
      </c>
      <c r="G20" s="68" t="s">
        <v>26</v>
      </c>
      <c r="H20" s="67">
        <v>0</v>
      </c>
      <c r="I20" s="66"/>
      <c r="J20" s="66"/>
      <c r="K20" s="66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spans="1:57" ht="14.25" customHeight="1" x14ac:dyDescent="0.2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</row>
    <row r="22" spans="1:57" ht="14.25" customHeight="1" x14ac:dyDescent="0.2">
      <c r="A22" s="65" t="s">
        <v>27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</row>
    <row r="23" spans="1:57" ht="14.25" customHeight="1" x14ac:dyDescent="0.2">
      <c r="A23" s="66" t="s">
        <v>97</v>
      </c>
      <c r="B23" s="66"/>
      <c r="C23" s="108" t="s">
        <v>68</v>
      </c>
      <c r="D23" s="107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</row>
    <row r="24" spans="1:57" ht="14.25" customHeight="1" x14ac:dyDescent="0.2">
      <c r="A24" s="66" t="s">
        <v>28</v>
      </c>
      <c r="B24" s="66"/>
      <c r="C24" s="108" t="s">
        <v>15</v>
      </c>
      <c r="D24" s="107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</row>
    <row r="25" spans="1:57" ht="14.25" customHeight="1" x14ac:dyDescent="0.2">
      <c r="A25" s="66" t="s">
        <v>114</v>
      </c>
      <c r="B25" s="66"/>
      <c r="C25" s="67" t="s">
        <v>119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</row>
    <row r="26" spans="1:57" ht="14.25" customHeight="1" x14ac:dyDescent="0.2">
      <c r="A26" s="66" t="s">
        <v>98</v>
      </c>
      <c r="B26" s="66"/>
      <c r="C26" s="108" t="s">
        <v>72</v>
      </c>
      <c r="D26" s="107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</row>
    <row r="27" spans="1:57" ht="14.25" customHeight="1" x14ac:dyDescent="0.2">
      <c r="A27" s="66" t="s">
        <v>29</v>
      </c>
      <c r="B27" s="66"/>
      <c r="C27" s="108" t="s">
        <v>50</v>
      </c>
      <c r="D27" s="107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</row>
    <row r="28" spans="1:57" ht="14.25" customHeight="1" x14ac:dyDescent="0.2">
      <c r="A28" s="66" t="s">
        <v>99</v>
      </c>
      <c r="B28" s="66"/>
      <c r="C28" s="108" t="s">
        <v>47</v>
      </c>
      <c r="D28" s="107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</row>
    <row r="29" spans="1:57" ht="14.25" customHeight="1" x14ac:dyDescent="0.2">
      <c r="A29" s="66" t="s">
        <v>100</v>
      </c>
      <c r="B29" s="66"/>
      <c r="C29" s="108" t="s">
        <v>77</v>
      </c>
      <c r="D29" s="107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</row>
    <row r="30" spans="1:57" ht="14.25" customHeight="1" x14ac:dyDescent="0.2">
      <c r="A30" s="66" t="s">
        <v>115</v>
      </c>
      <c r="B30" s="66"/>
      <c r="C30" s="67" t="s">
        <v>116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</row>
    <row r="31" spans="1:57" ht="14.25" customHeight="1" x14ac:dyDescent="0.2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</row>
    <row r="32" spans="1:57" ht="14.25" customHeight="1" x14ac:dyDescent="0.25">
      <c r="A32" s="69" t="s">
        <v>93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</row>
    <row r="33" spans="1:57" ht="14.25" customHeight="1" x14ac:dyDescent="0.2">
      <c r="A33" s="71" t="s">
        <v>39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</row>
    <row r="34" spans="1:57" ht="14.25" customHeight="1" x14ac:dyDescent="0.2">
      <c r="A34" s="70" t="s">
        <v>110</v>
      </c>
      <c r="B34" s="70"/>
      <c r="C34" s="70"/>
      <c r="D34" s="70"/>
      <c r="E34" s="70"/>
      <c r="F34" s="67" t="s">
        <v>116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</row>
    <row r="35" spans="1:57" ht="14.25" customHeight="1" x14ac:dyDescent="0.2">
      <c r="A35" s="70" t="s">
        <v>106</v>
      </c>
      <c r="B35" s="70"/>
      <c r="C35" s="70"/>
      <c r="D35" s="70"/>
      <c r="E35" s="70"/>
      <c r="F35" s="67" t="s">
        <v>119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</row>
    <row r="36" spans="1:57" ht="14.25" customHeight="1" x14ac:dyDescent="0.2">
      <c r="A36" s="70" t="s">
        <v>113</v>
      </c>
      <c r="B36" s="70"/>
      <c r="C36" s="70"/>
      <c r="D36" s="70"/>
      <c r="E36" s="70"/>
      <c r="F36" s="67" t="s">
        <v>119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</row>
    <row r="37" spans="1:57" ht="14.25" customHeight="1" x14ac:dyDescent="0.2">
      <c r="A37" s="70" t="s">
        <v>111</v>
      </c>
      <c r="B37" s="70"/>
      <c r="C37" s="70"/>
      <c r="D37" s="70"/>
      <c r="E37" s="70"/>
      <c r="F37" s="70"/>
      <c r="G37" s="70"/>
      <c r="H37" s="70"/>
      <c r="I37" s="70" t="s">
        <v>93</v>
      </c>
      <c r="J37" s="67"/>
      <c r="K37" s="72" t="s">
        <v>112</v>
      </c>
      <c r="L37" s="67" t="s">
        <v>146</v>
      </c>
      <c r="M37" s="109" t="s">
        <v>104</v>
      </c>
      <c r="N37" s="110"/>
      <c r="O37" s="110"/>
      <c r="P37" s="110"/>
      <c r="Q37" s="110"/>
      <c r="R37" s="67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</row>
    <row r="38" spans="1:57" ht="14.25" customHeight="1" x14ac:dyDescent="0.2">
      <c r="A38" s="70" t="s">
        <v>101</v>
      </c>
      <c r="B38" s="70"/>
      <c r="C38" s="70"/>
      <c r="D38" s="70"/>
      <c r="E38" s="70"/>
      <c r="F38" s="70"/>
      <c r="G38" s="70"/>
      <c r="H38" s="70"/>
      <c r="I38" s="70" t="s">
        <v>102</v>
      </c>
      <c r="J38" s="67"/>
      <c r="K38" s="72" t="s">
        <v>103</v>
      </c>
      <c r="L38" s="67" t="s">
        <v>146</v>
      </c>
      <c r="M38" s="109" t="s">
        <v>105</v>
      </c>
      <c r="N38" s="110"/>
      <c r="O38" s="110"/>
      <c r="P38" s="110"/>
      <c r="Q38" s="110"/>
      <c r="R38" s="67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</row>
    <row r="39" spans="1:57" ht="14.25" customHeight="1" x14ac:dyDescent="0.2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</row>
    <row r="40" spans="1:57" ht="14.25" customHeight="1" x14ac:dyDescent="0.25">
      <c r="A40" s="73" t="s">
        <v>90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</row>
    <row r="41" spans="1:57" ht="14.25" customHeight="1" x14ac:dyDescent="0.2">
      <c r="A41" s="75" t="s">
        <v>39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</row>
    <row r="42" spans="1:57" ht="14.25" customHeight="1" x14ac:dyDescent="0.2">
      <c r="A42" s="76" t="s">
        <v>109</v>
      </c>
      <c r="B42" s="74"/>
      <c r="C42" s="74"/>
      <c r="D42" s="74"/>
      <c r="E42" s="74"/>
      <c r="F42" s="67" t="s">
        <v>116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</row>
    <row r="43" spans="1:57" ht="14.25" customHeight="1" x14ac:dyDescent="0.2">
      <c r="A43" s="76" t="s">
        <v>91</v>
      </c>
      <c r="B43" s="76"/>
      <c r="C43" s="76"/>
      <c r="D43" s="76"/>
      <c r="E43" s="76"/>
      <c r="F43" s="67">
        <v>14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</row>
    <row r="44" spans="1:57" ht="14.25" customHeight="1" x14ac:dyDescent="0.2">
      <c r="A44" s="76" t="s">
        <v>92</v>
      </c>
      <c r="B44" s="76"/>
      <c r="C44" s="76"/>
      <c r="D44" s="76"/>
      <c r="E44" s="76"/>
      <c r="F44" s="108" t="s">
        <v>147</v>
      </c>
      <c r="G44" s="106"/>
      <c r="H44" s="106"/>
      <c r="I44" s="106"/>
      <c r="J44" s="106"/>
      <c r="K44" s="106"/>
      <c r="L44" s="106"/>
      <c r="M44" s="106"/>
      <c r="N44" s="106"/>
      <c r="O44" s="107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</row>
    <row r="45" spans="1:57" ht="14.25" customHeight="1" x14ac:dyDescent="0.2">
      <c r="A45" s="76" t="s">
        <v>30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</row>
    <row r="46" spans="1:57" ht="14.25" customHeight="1" x14ac:dyDescent="0.2">
      <c r="A46" s="76" t="s">
        <v>31</v>
      </c>
      <c r="B46" s="74"/>
      <c r="C46" s="74"/>
      <c r="D46" s="77" t="s">
        <v>48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</row>
    <row r="47" spans="1:57" ht="14.25" customHeight="1" x14ac:dyDescent="0.2">
      <c r="A47" s="76" t="s">
        <v>32</v>
      </c>
      <c r="B47" s="74"/>
      <c r="C47" s="74"/>
      <c r="D47" s="77" t="s">
        <v>10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</row>
    <row r="48" spans="1:57" ht="14.25" customHeight="1" x14ac:dyDescent="0.2">
      <c r="A48" s="76" t="s">
        <v>33</v>
      </c>
      <c r="B48" s="74"/>
      <c r="C48" s="74"/>
      <c r="D48" s="77" t="s">
        <v>46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</row>
    <row r="49" spans="1:57" ht="14.25" customHeight="1" x14ac:dyDescent="0.2">
      <c r="A49" s="76" t="s">
        <v>34</v>
      </c>
      <c r="B49" s="74"/>
      <c r="C49" s="74"/>
      <c r="D49" s="77" t="s">
        <v>19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</row>
    <row r="50" spans="1:57" ht="14.25" customHeight="1" x14ac:dyDescent="0.2">
      <c r="A50" s="76" t="s">
        <v>35</v>
      </c>
      <c r="B50" s="74"/>
      <c r="C50" s="74"/>
      <c r="D50" s="77" t="s">
        <v>49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</row>
    <row r="51" spans="1:57" ht="14.25" customHeight="1" x14ac:dyDescent="0.2">
      <c r="A51" s="76" t="s">
        <v>36</v>
      </c>
      <c r="B51" s="74"/>
      <c r="C51" s="74"/>
      <c r="D51" s="77" t="s">
        <v>50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</row>
    <row r="52" spans="1:57" ht="14.25" customHeight="1" x14ac:dyDescent="0.2">
      <c r="A52" s="76" t="s">
        <v>37</v>
      </c>
      <c r="B52" s="74"/>
      <c r="C52" s="74"/>
      <c r="D52" s="77" t="s">
        <v>53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</row>
    <row r="53" spans="1:57" ht="14.25" customHeight="1" x14ac:dyDescent="0.2">
      <c r="A53" s="76" t="s">
        <v>38</v>
      </c>
      <c r="B53" s="74"/>
      <c r="C53" s="74"/>
      <c r="D53" s="77" t="s">
        <v>12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</row>
    <row r="54" spans="1:57" ht="14.25" customHeight="1" x14ac:dyDescent="0.2">
      <c r="A54" s="76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</row>
    <row r="55" spans="1:57" ht="14.25" customHeight="1" x14ac:dyDescent="0.25">
      <c r="A55" s="78" t="s">
        <v>40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</row>
    <row r="56" spans="1:57" ht="14.25" customHeight="1" x14ac:dyDescent="0.2">
      <c r="A56" s="80" t="s">
        <v>148</v>
      </c>
      <c r="B56" s="79"/>
      <c r="C56" s="79"/>
      <c r="D56" s="79"/>
      <c r="E56" s="79"/>
      <c r="F56" s="105" t="s">
        <v>49</v>
      </c>
      <c r="G56" s="106"/>
      <c r="H56" s="106"/>
      <c r="I56" s="107"/>
      <c r="J56" s="105" t="s">
        <v>10</v>
      </c>
      <c r="K56" s="106"/>
      <c r="L56" s="107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</row>
    <row r="57" spans="1:57" ht="14.25" customHeight="1" x14ac:dyDescent="0.2">
      <c r="A57" s="81" t="s">
        <v>108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</row>
    <row r="58" spans="1:57" ht="14.25" customHeight="1" x14ac:dyDescent="0.2">
      <c r="A58" s="80" t="s">
        <v>149</v>
      </c>
      <c r="B58" s="79"/>
      <c r="C58" s="79"/>
      <c r="D58" s="79"/>
      <c r="E58" s="79"/>
      <c r="F58" s="67">
        <v>2</v>
      </c>
      <c r="G58" s="82" t="s">
        <v>26</v>
      </c>
      <c r="H58" s="67">
        <v>1</v>
      </c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</row>
    <row r="59" spans="1:57" ht="14.25" customHeight="1" x14ac:dyDescent="0.2">
      <c r="A59" s="80" t="s">
        <v>150</v>
      </c>
      <c r="B59" s="79"/>
      <c r="C59" s="79"/>
      <c r="D59" s="79"/>
      <c r="E59" s="79"/>
      <c r="F59" s="105" t="s">
        <v>49</v>
      </c>
      <c r="G59" s="106"/>
      <c r="H59" s="106"/>
      <c r="I59" s="107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</row>
    <row r="60" spans="1:57" ht="14.25" customHeight="1" x14ac:dyDescent="0.2">
      <c r="A60" s="80" t="s">
        <v>151</v>
      </c>
      <c r="B60" s="79"/>
      <c r="C60" s="79"/>
      <c r="D60" s="79"/>
      <c r="E60" s="79"/>
      <c r="F60" s="105" t="s">
        <v>48</v>
      </c>
      <c r="G60" s="106"/>
      <c r="H60" s="106"/>
      <c r="I60" s="107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</row>
    <row r="61" spans="1:57" ht="14.25" customHeight="1" x14ac:dyDescent="0.2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</row>
    <row r="62" spans="1:57" ht="14.25" customHeight="1" x14ac:dyDescent="0.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</row>
    <row r="63" spans="1:57" ht="14.25" customHeight="1" x14ac:dyDescent="0.2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</row>
    <row r="64" spans="1:57" ht="14.25" customHeight="1" x14ac:dyDescent="0.2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" footer="0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C2C5-E07A-4685-9FAB-5F3DC7AD523B}">
  <sheetPr>
    <pageSetUpPr fitToPage="1"/>
  </sheetPr>
  <dimension ref="A1:CF64"/>
  <sheetViews>
    <sheetView zoomScaleNormal="100" workbookViewId="0">
      <selection activeCell="R61" sqref="R61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2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4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1</v>
      </c>
      <c r="G15" s="7" t="s">
        <v>26</v>
      </c>
      <c r="H15" s="1">
        <v>0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1</v>
      </c>
      <c r="G17" s="7" t="s">
        <v>26</v>
      </c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1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3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0</v>
      </c>
      <c r="G20" s="7" t="s">
        <v>26</v>
      </c>
      <c r="H20" s="1">
        <v>1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15</v>
      </c>
      <c r="D24" s="93"/>
    </row>
    <row r="25" spans="1:11" s="6" customFormat="1" ht="16" x14ac:dyDescent="0.2">
      <c r="A25" s="6" t="s">
        <v>114</v>
      </c>
      <c r="C25" s="1" t="s">
        <v>152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153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116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1">
        <v>13</v>
      </c>
    </row>
    <row r="44" spans="1:18" s="15" customFormat="1" ht="16" x14ac:dyDescent="0.2">
      <c r="A44" s="15" t="s">
        <v>92</v>
      </c>
      <c r="F44" s="91" t="s">
        <v>154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45</v>
      </c>
    </row>
    <row r="47" spans="1:18" s="12" customFormat="1" ht="16" x14ac:dyDescent="0.2">
      <c r="A47" s="15" t="s">
        <v>32</v>
      </c>
      <c r="D47" s="10" t="s">
        <v>50</v>
      </c>
    </row>
    <row r="48" spans="1:18" s="12" customFormat="1" ht="16" x14ac:dyDescent="0.2">
      <c r="A48" s="15" t="s">
        <v>33</v>
      </c>
      <c r="D48" s="10" t="s">
        <v>49</v>
      </c>
    </row>
    <row r="49" spans="1:12" s="12" customFormat="1" ht="16" x14ac:dyDescent="0.2">
      <c r="A49" s="15" t="s">
        <v>34</v>
      </c>
      <c r="D49" s="10" t="s">
        <v>18</v>
      </c>
    </row>
    <row r="50" spans="1:12" s="12" customFormat="1" ht="16" x14ac:dyDescent="0.2">
      <c r="A50" s="15" t="s">
        <v>35</v>
      </c>
      <c r="D50" s="10" t="s">
        <v>48</v>
      </c>
    </row>
    <row r="51" spans="1:12" s="12" customFormat="1" ht="16" x14ac:dyDescent="0.2">
      <c r="A51" s="15" t="s">
        <v>36</v>
      </c>
      <c r="D51" s="10" t="s">
        <v>10</v>
      </c>
    </row>
    <row r="52" spans="1:12" s="12" customFormat="1" ht="16" x14ac:dyDescent="0.2">
      <c r="A52" s="15" t="s">
        <v>37</v>
      </c>
      <c r="D52" s="10" t="s">
        <v>11</v>
      </c>
    </row>
    <row r="53" spans="1:12" s="12" customFormat="1" ht="16" x14ac:dyDescent="0.2">
      <c r="A53" s="15" t="s">
        <v>38</v>
      </c>
      <c r="D53" s="10" t="s">
        <v>12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45</v>
      </c>
      <c r="G56" s="97"/>
      <c r="H56" s="97"/>
      <c r="I56" s="97"/>
      <c r="J56" s="94" t="s">
        <v>48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45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10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16E3-DB89-4A3C-86B0-D7C961A0D449}">
  <sheetPr>
    <pageSetUpPr fitToPage="1"/>
  </sheetPr>
  <dimension ref="A1:CF64"/>
  <sheetViews>
    <sheetView zoomScale="67" zoomScaleNormal="75" workbookViewId="0">
      <selection activeCell="BJ20" sqref="BJ20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1640625" customWidth="1"/>
    <col min="4" max="4" width="16.33203125" customWidth="1"/>
    <col min="5" max="5" width="15.5" customWidth="1"/>
    <col min="6" max="6" width="4" bestFit="1" customWidth="1"/>
    <col min="7" max="7" width="2.33203125" customWidth="1"/>
    <col min="8" max="8" width="3" bestFit="1" customWidth="1"/>
    <col min="9" max="9" width="11.1640625" customWidth="1"/>
    <col min="10" max="10" width="3.6640625" customWidth="1"/>
    <col min="11" max="11" width="11.6640625" customWidth="1"/>
    <col min="12" max="13" width="3.5" customWidth="1"/>
    <col min="14" max="14" width="4.16406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1640625" customWidth="1"/>
    <col min="22" max="22" width="3" customWidth="1"/>
    <col min="23" max="23" width="1.33203125" customWidth="1"/>
    <col min="24" max="24" width="4.1640625" customWidth="1"/>
    <col min="25" max="25" width="7.1640625" customWidth="1"/>
    <col min="26" max="26" width="3.6640625" customWidth="1"/>
    <col min="27" max="27" width="1.1640625" customWidth="1"/>
    <col min="28" max="28" width="4.16406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1640625" customWidth="1"/>
    <col min="36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16406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16406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16406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16406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16406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1640625" customWidth="1"/>
    <col min="78" max="78" width="3" customWidth="1"/>
    <col min="79" max="79" width="2.832031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16406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2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2</v>
      </c>
      <c r="G14" s="7" t="s">
        <v>26</v>
      </c>
      <c r="H14" s="1">
        <v>0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2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0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1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 t="s">
        <v>26</v>
      </c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15</v>
      </c>
      <c r="D24" s="93"/>
    </row>
    <row r="25" spans="1:11" s="6" customFormat="1" ht="16" x14ac:dyDescent="0.2">
      <c r="A25" s="6" t="s">
        <v>114</v>
      </c>
      <c r="C25" s="1" t="s">
        <v>152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153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152</v>
      </c>
    </row>
    <row r="35" spans="1:18" s="25" customFormat="1" ht="16" x14ac:dyDescent="0.2">
      <c r="A35" s="25" t="s">
        <v>106</v>
      </c>
      <c r="F35" s="1" t="s">
        <v>152</v>
      </c>
    </row>
    <row r="36" spans="1:18" s="25" customFormat="1" ht="16" x14ac:dyDescent="0.2">
      <c r="A36" s="25" t="s">
        <v>113</v>
      </c>
      <c r="F36" s="1" t="s">
        <v>153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152</v>
      </c>
    </row>
    <row r="43" spans="1:18" s="15" customFormat="1" ht="16" x14ac:dyDescent="0.2">
      <c r="A43" s="15" t="s">
        <v>91</v>
      </c>
      <c r="F43" s="1">
        <v>13</v>
      </c>
    </row>
    <row r="44" spans="1:18" s="15" customFormat="1" ht="16" x14ac:dyDescent="0.2">
      <c r="A44" s="15" t="s">
        <v>92</v>
      </c>
      <c r="F44" s="91" t="s">
        <v>155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49</v>
      </c>
    </row>
    <row r="47" spans="1:18" s="12" customFormat="1" ht="16" x14ac:dyDescent="0.2">
      <c r="A47" s="15" t="s">
        <v>32</v>
      </c>
      <c r="D47" s="10" t="s">
        <v>45</v>
      </c>
    </row>
    <row r="48" spans="1:18" s="12" customFormat="1" ht="16" x14ac:dyDescent="0.2">
      <c r="A48" s="15" t="s">
        <v>33</v>
      </c>
      <c r="D48" s="10" t="s">
        <v>10</v>
      </c>
    </row>
    <row r="49" spans="1:12" s="12" customFormat="1" ht="16" x14ac:dyDescent="0.2">
      <c r="A49" s="15" t="s">
        <v>34</v>
      </c>
      <c r="D49" s="10" t="s">
        <v>48</v>
      </c>
    </row>
    <row r="50" spans="1:12" s="12" customFormat="1" ht="16" x14ac:dyDescent="0.2">
      <c r="A50" s="15" t="s">
        <v>35</v>
      </c>
      <c r="D50" s="10" t="s">
        <v>11</v>
      </c>
    </row>
    <row r="51" spans="1:12" s="12" customFormat="1" ht="16" x14ac:dyDescent="0.2">
      <c r="A51" s="15" t="s">
        <v>36</v>
      </c>
      <c r="D51" s="10" t="s">
        <v>12</v>
      </c>
    </row>
    <row r="52" spans="1:12" s="12" customFormat="1" ht="16" x14ac:dyDescent="0.2">
      <c r="A52" s="15" t="s">
        <v>37</v>
      </c>
      <c r="D52" s="10" t="s">
        <v>46</v>
      </c>
    </row>
    <row r="53" spans="1:12" s="12" customFormat="1" ht="16" x14ac:dyDescent="0.2">
      <c r="A53" s="15" t="s">
        <v>38</v>
      </c>
      <c r="D53" s="10" t="s">
        <v>50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4" t="s">
        <v>49</v>
      </c>
      <c r="G56" s="95"/>
      <c r="H56" s="95"/>
      <c r="I56" s="96"/>
      <c r="J56" s="94" t="s">
        <v>10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1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49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45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8099-02AD-463E-988E-0CECCF924281}">
  <sheetPr>
    <pageSetUpPr fitToPage="1"/>
  </sheetPr>
  <dimension ref="A1:CF64"/>
  <sheetViews>
    <sheetView topLeftCell="A20" zoomScale="130" zoomScaleNormal="130" workbookViewId="0">
      <selection activeCell="R16" sqref="R16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16406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1640625" customWidth="1"/>
    <col min="10" max="10" width="3.6640625" customWidth="1"/>
    <col min="11" max="11" width="11.6640625" customWidth="1"/>
    <col min="12" max="13" width="3.5" customWidth="1"/>
    <col min="14" max="14" width="4.16406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1640625" customWidth="1"/>
    <col min="22" max="22" width="3" customWidth="1"/>
    <col min="23" max="23" width="1.33203125" customWidth="1"/>
    <col min="24" max="24" width="4.1640625" customWidth="1"/>
    <col min="25" max="25" width="7.1640625" customWidth="1"/>
    <col min="26" max="26" width="3.6640625" customWidth="1"/>
    <col min="27" max="27" width="1.1640625" customWidth="1"/>
    <col min="28" max="28" width="4.16406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1640625" customWidth="1"/>
    <col min="36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16406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16406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16406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16406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16406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1640625" customWidth="1"/>
    <col min="78" max="78" width="3" customWidth="1"/>
    <col min="79" max="79" width="2.832031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16406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1</v>
      </c>
      <c r="G12" s="7" t="s">
        <v>26</v>
      </c>
      <c r="H12" s="1">
        <v>0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2</v>
      </c>
      <c r="G14" s="7" t="s">
        <v>26</v>
      </c>
      <c r="H14" s="1">
        <v>0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2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0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2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 t="s">
        <v>26</v>
      </c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15</v>
      </c>
      <c r="D24" s="93"/>
    </row>
    <row r="25" spans="1:11" s="6" customFormat="1" ht="16" x14ac:dyDescent="0.2">
      <c r="A25" s="6" t="s">
        <v>114</v>
      </c>
      <c r="C25" s="1" t="s">
        <v>119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1">
        <v>12</v>
      </c>
    </row>
    <row r="44" spans="1:18" s="15" customFormat="1" ht="16" x14ac:dyDescent="0.2">
      <c r="A44" s="15" t="s">
        <v>92</v>
      </c>
      <c r="F44" s="91" t="s">
        <v>155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49</v>
      </c>
    </row>
    <row r="47" spans="1:18" s="12" customFormat="1" ht="16" x14ac:dyDescent="0.2">
      <c r="A47" s="15" t="s">
        <v>32</v>
      </c>
      <c r="D47" s="10" t="s">
        <v>45</v>
      </c>
    </row>
    <row r="48" spans="1:18" s="12" customFormat="1" ht="16" x14ac:dyDescent="0.2">
      <c r="A48" s="15" t="s">
        <v>33</v>
      </c>
      <c r="D48" s="10" t="s">
        <v>10</v>
      </c>
    </row>
    <row r="49" spans="1:12" s="12" customFormat="1" ht="16" x14ac:dyDescent="0.2">
      <c r="A49" s="15" t="s">
        <v>34</v>
      </c>
      <c r="D49" s="10" t="s">
        <v>48</v>
      </c>
    </row>
    <row r="50" spans="1:12" s="12" customFormat="1" ht="16" x14ac:dyDescent="0.2">
      <c r="A50" s="15" t="s">
        <v>35</v>
      </c>
      <c r="D50" s="10" t="s">
        <v>11</v>
      </c>
    </row>
    <row r="51" spans="1:12" s="12" customFormat="1" ht="16" x14ac:dyDescent="0.2">
      <c r="A51" s="15" t="s">
        <v>36</v>
      </c>
      <c r="D51" s="10" t="s">
        <v>12</v>
      </c>
    </row>
    <row r="52" spans="1:12" s="12" customFormat="1" ht="16" x14ac:dyDescent="0.2">
      <c r="A52" s="15" t="s">
        <v>37</v>
      </c>
      <c r="D52" s="10" t="s">
        <v>46</v>
      </c>
    </row>
    <row r="53" spans="1:12" s="12" customFormat="1" ht="16" x14ac:dyDescent="0.2">
      <c r="A53" s="15" t="s">
        <v>38</v>
      </c>
      <c r="D53" s="10" t="s">
        <v>50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49</v>
      </c>
      <c r="G56" s="97"/>
      <c r="H56" s="97"/>
      <c r="I56" s="97"/>
      <c r="J56" s="94" t="s">
        <v>10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49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45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87BA-B94A-4206-A54D-4DE66BD2F868}">
  <sheetPr>
    <pageSetUpPr fitToPage="1"/>
  </sheetPr>
  <dimension ref="A1:CF64"/>
  <sheetViews>
    <sheetView zoomScale="78" zoomScaleNormal="75" workbookViewId="0">
      <selection activeCell="F19" sqref="F19"/>
    </sheetView>
  </sheetViews>
  <sheetFormatPr baseColWidth="10" defaultColWidth="11.5" defaultRowHeight="15" x14ac:dyDescent="0.2"/>
  <cols>
    <col min="1" max="1" width="18.5" customWidth="1"/>
    <col min="2" max="2" width="21.5" customWidth="1"/>
    <col min="3" max="3" width="4.1640625" customWidth="1"/>
    <col min="4" max="4" width="16.5" customWidth="1"/>
    <col min="5" max="5" width="15.5" customWidth="1"/>
    <col min="6" max="6" width="3" bestFit="1" customWidth="1"/>
    <col min="7" max="7" width="2.5" customWidth="1"/>
    <col min="8" max="8" width="3" bestFit="1" customWidth="1"/>
    <col min="9" max="9" width="11.1640625" customWidth="1"/>
    <col min="10" max="10" width="3.5" customWidth="1"/>
    <col min="11" max="11" width="11.5" customWidth="1"/>
    <col min="12" max="13" width="3.5" customWidth="1"/>
    <col min="14" max="14" width="4.16406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5" customWidth="1"/>
    <col min="20" max="20" width="1.1640625" customWidth="1"/>
    <col min="21" max="21" width="4.1640625" customWidth="1"/>
    <col min="22" max="22" width="3" customWidth="1"/>
    <col min="23" max="23" width="1.5" customWidth="1"/>
    <col min="24" max="24" width="4.1640625" customWidth="1"/>
    <col min="25" max="25" width="7.1640625" customWidth="1"/>
    <col min="26" max="26" width="3.5" customWidth="1"/>
    <col min="27" max="27" width="1.1640625" customWidth="1"/>
    <col min="28" max="28" width="4.16406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5" customWidth="1"/>
    <col min="34" max="34" width="1.1640625" customWidth="1"/>
    <col min="35" max="35" width="4.1640625" customWidth="1"/>
    <col min="36" max="37" width="7.1640625" customWidth="1"/>
    <col min="38" max="38" width="2.5" customWidth="1"/>
    <col min="39" max="39" width="5.1640625" customWidth="1"/>
    <col min="40" max="40" width="3.5" customWidth="1"/>
    <col min="41" max="41" width="1.1640625" customWidth="1"/>
    <col min="42" max="42" width="4.1640625" customWidth="1"/>
    <col min="43" max="43" width="3" customWidth="1"/>
    <col min="44" max="44" width="1.5" customWidth="1"/>
    <col min="45" max="45" width="2.5" customWidth="1"/>
    <col min="46" max="46" width="4.5" customWidth="1"/>
    <col min="47" max="47" width="3.5" customWidth="1"/>
    <col min="48" max="48" width="1.1640625" customWidth="1"/>
    <col min="49" max="49" width="4.1640625" customWidth="1"/>
    <col min="50" max="50" width="3" customWidth="1"/>
    <col min="51" max="51" width="1.5" customWidth="1"/>
    <col min="52" max="52" width="2.5" customWidth="1"/>
    <col min="53" max="53" width="7.5" customWidth="1"/>
    <col min="54" max="54" width="3.5" customWidth="1"/>
    <col min="55" max="55" width="1.1640625" customWidth="1"/>
    <col min="56" max="56" width="4.16406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5" customWidth="1"/>
    <col min="62" max="62" width="1.1640625" customWidth="1"/>
    <col min="63" max="63" width="4.16406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5" customWidth="1"/>
    <col min="69" max="69" width="1.1640625" customWidth="1"/>
    <col min="70" max="70" width="4.16406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5" customWidth="1"/>
    <col min="76" max="76" width="1.1640625" customWidth="1"/>
    <col min="77" max="77" width="4.1640625" customWidth="1"/>
    <col min="78" max="78" width="3" customWidth="1"/>
    <col min="79" max="79" width="2.83203125" customWidth="1"/>
    <col min="80" max="80" width="2.5" customWidth="1"/>
    <col min="81" max="81" width="6.1640625" customWidth="1"/>
    <col min="82" max="82" width="3.5" customWidth="1"/>
    <col min="83" max="83" width="1.1640625" customWidth="1"/>
    <col min="84" max="84" width="4.16406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2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0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1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1</v>
      </c>
      <c r="G16" s="7" t="s">
        <v>26</v>
      </c>
      <c r="H16" s="1">
        <v>0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1</v>
      </c>
      <c r="G17" s="7"/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1</v>
      </c>
      <c r="G18" s="7" t="s">
        <v>26</v>
      </c>
      <c r="H18" s="1">
        <v>3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/>
      <c r="H20" s="1">
        <v>2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52</v>
      </c>
      <c r="D24" s="93"/>
    </row>
    <row r="25" spans="1:11" s="6" customFormat="1" ht="16" x14ac:dyDescent="0.2">
      <c r="A25" s="6" t="s">
        <v>114</v>
      </c>
      <c r="C25" s="1" t="s">
        <v>156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17</v>
      </c>
      <c r="D29" s="93"/>
    </row>
    <row r="30" spans="1:11" s="6" customFormat="1" ht="16" x14ac:dyDescent="0.2">
      <c r="A30" s="6" t="s">
        <v>115</v>
      </c>
      <c r="C30" s="1" t="s">
        <v>153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146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146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1">
        <v>10</v>
      </c>
    </row>
    <row r="44" spans="1:18" s="15" customFormat="1" ht="16" x14ac:dyDescent="0.2">
      <c r="A44" s="15" t="s">
        <v>92</v>
      </c>
      <c r="F44" s="91" t="s">
        <v>154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48</v>
      </c>
    </row>
    <row r="47" spans="1:18" s="12" customFormat="1" ht="16" x14ac:dyDescent="0.2">
      <c r="A47" s="15" t="s">
        <v>32</v>
      </c>
      <c r="D47" s="10" t="s">
        <v>11</v>
      </c>
    </row>
    <row r="48" spans="1:18" s="12" customFormat="1" ht="16" x14ac:dyDescent="0.2">
      <c r="A48" s="15" t="s">
        <v>33</v>
      </c>
      <c r="D48" s="10" t="s">
        <v>45</v>
      </c>
    </row>
    <row r="49" spans="1:12" s="12" customFormat="1" ht="16" x14ac:dyDescent="0.2">
      <c r="A49" s="15" t="s">
        <v>34</v>
      </c>
      <c r="D49" s="10" t="s">
        <v>10</v>
      </c>
    </row>
    <row r="50" spans="1:12" s="12" customFormat="1" ht="16" x14ac:dyDescent="0.2">
      <c r="A50" s="15" t="s">
        <v>35</v>
      </c>
      <c r="D50" s="10" t="s">
        <v>12</v>
      </c>
    </row>
    <row r="51" spans="1:12" s="12" customFormat="1" ht="16" x14ac:dyDescent="0.2">
      <c r="A51" s="15" t="s">
        <v>36</v>
      </c>
      <c r="D51" s="10" t="s">
        <v>50</v>
      </c>
    </row>
    <row r="52" spans="1:12" s="12" customFormat="1" ht="16" x14ac:dyDescent="0.2">
      <c r="A52" s="15" t="s">
        <v>37</v>
      </c>
      <c r="D52" s="10" t="s">
        <v>157</v>
      </c>
    </row>
    <row r="53" spans="1:12" s="12" customFormat="1" ht="16" x14ac:dyDescent="0.2">
      <c r="A53" s="15" t="s">
        <v>38</v>
      </c>
      <c r="D53" s="10" t="s">
        <v>49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48</v>
      </c>
      <c r="G56" s="97"/>
      <c r="H56" s="97"/>
      <c r="I56" s="97"/>
      <c r="J56" s="94" t="s">
        <v>45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45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48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4451-753B-4BBB-80C3-150A64E55DA9}">
  <sheetPr>
    <pageSetUpPr fitToPage="1"/>
  </sheetPr>
  <dimension ref="A1:CF64"/>
  <sheetViews>
    <sheetView zoomScale="78" zoomScaleNormal="75" workbookViewId="0">
      <selection sqref="A1:R1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0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1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4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1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2</v>
      </c>
      <c r="G16" s="7" t="s">
        <v>26</v>
      </c>
      <c r="H16" s="1">
        <v>0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0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1</v>
      </c>
      <c r="G18" s="7" t="s">
        <v>26</v>
      </c>
      <c r="H18" s="1">
        <v>2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2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1</v>
      </c>
      <c r="G20" s="7" t="s">
        <v>26</v>
      </c>
      <c r="H20" s="1">
        <v>3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131</v>
      </c>
      <c r="D24" s="93"/>
    </row>
    <row r="25" spans="1:11" s="6" customFormat="1" ht="16" x14ac:dyDescent="0.2">
      <c r="A25" s="6" t="s">
        <v>114</v>
      </c>
      <c r="C25" s="1" t="s">
        <v>116</v>
      </c>
    </row>
    <row r="26" spans="1:11" s="6" customFormat="1" ht="16" x14ac:dyDescent="0.2">
      <c r="A26" s="6" t="s">
        <v>98</v>
      </c>
      <c r="C26" s="91" t="s">
        <v>72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61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116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119</v>
      </c>
    </row>
    <row r="43" spans="1:18" s="15" customFormat="1" ht="16" x14ac:dyDescent="0.2">
      <c r="A43" s="15" t="s">
        <v>91</v>
      </c>
      <c r="F43" s="91">
        <v>11</v>
      </c>
      <c r="G43" s="92"/>
      <c r="H43" s="92"/>
      <c r="I43" s="92"/>
      <c r="J43" s="92"/>
      <c r="K43" s="92"/>
      <c r="L43" s="92"/>
      <c r="M43" s="92"/>
      <c r="N43" s="92"/>
      <c r="O43" s="93"/>
    </row>
    <row r="44" spans="1:18" s="15" customFormat="1" ht="16" x14ac:dyDescent="0.2">
      <c r="A44" s="15" t="s">
        <v>92</v>
      </c>
      <c r="F44" s="91" t="s">
        <v>120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45</v>
      </c>
    </row>
    <row r="47" spans="1:18" s="12" customFormat="1" ht="16" x14ac:dyDescent="0.2">
      <c r="A47" s="15" t="s">
        <v>32</v>
      </c>
      <c r="D47" s="10" t="s">
        <v>48</v>
      </c>
    </row>
    <row r="48" spans="1:18" s="12" customFormat="1" ht="16" x14ac:dyDescent="0.2">
      <c r="A48" s="15" t="s">
        <v>33</v>
      </c>
      <c r="D48" s="10" t="s">
        <v>11</v>
      </c>
    </row>
    <row r="49" spans="1:12" s="12" customFormat="1" ht="16" x14ac:dyDescent="0.2">
      <c r="A49" s="15" t="s">
        <v>34</v>
      </c>
      <c r="D49" s="10" t="s">
        <v>10</v>
      </c>
    </row>
    <row r="50" spans="1:12" s="12" customFormat="1" ht="16" x14ac:dyDescent="0.2">
      <c r="A50" s="15" t="s">
        <v>35</v>
      </c>
      <c r="D50" s="10" t="s">
        <v>46</v>
      </c>
    </row>
    <row r="51" spans="1:12" s="12" customFormat="1" ht="16" x14ac:dyDescent="0.2">
      <c r="A51" s="15" t="s">
        <v>36</v>
      </c>
      <c r="D51" s="10" t="s">
        <v>49</v>
      </c>
    </row>
    <row r="52" spans="1:12" s="12" customFormat="1" ht="16" x14ac:dyDescent="0.2">
      <c r="A52" s="15" t="s">
        <v>37</v>
      </c>
      <c r="D52" s="10" t="s">
        <v>52</v>
      </c>
    </row>
    <row r="53" spans="1:12" s="12" customFormat="1" ht="16" x14ac:dyDescent="0.2">
      <c r="A53" s="15" t="s">
        <v>38</v>
      </c>
      <c r="D53" s="10" t="s">
        <v>72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10</v>
      </c>
      <c r="G56" s="97"/>
      <c r="H56" s="97"/>
      <c r="I56" s="97"/>
      <c r="J56" s="94" t="s">
        <v>49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1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10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49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9">
    <mergeCell ref="A1:R1"/>
    <mergeCell ref="F2:I2"/>
    <mergeCell ref="C3:D3"/>
    <mergeCell ref="F3:I3"/>
    <mergeCell ref="C4:D4"/>
    <mergeCell ref="F4:I4"/>
    <mergeCell ref="C23:D23"/>
    <mergeCell ref="C24:D24"/>
    <mergeCell ref="C26:D26"/>
    <mergeCell ref="C27:D27"/>
    <mergeCell ref="S4:V4"/>
    <mergeCell ref="C5:D5"/>
    <mergeCell ref="F5:I5"/>
    <mergeCell ref="C6:D6"/>
    <mergeCell ref="F6:I6"/>
    <mergeCell ref="C7:D7"/>
    <mergeCell ref="F7:I7"/>
    <mergeCell ref="M37:Q37"/>
    <mergeCell ref="M38:Q38"/>
    <mergeCell ref="F43:O43"/>
    <mergeCell ref="F44:O44"/>
    <mergeCell ref="AG7:AJ7"/>
    <mergeCell ref="AG8:AJ8"/>
    <mergeCell ref="F56:I56"/>
    <mergeCell ref="J56:L56"/>
    <mergeCell ref="F59:I59"/>
    <mergeCell ref="F60:I60"/>
    <mergeCell ref="C28:D28"/>
    <mergeCell ref="C29:D29"/>
  </mergeCells>
  <pageMargins left="0.7" right="0.7" top="0.75" bottom="0.75" header="0.3" footer="0.3"/>
  <pageSetup paperSize="8" scale="56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ABDB-04DC-4616-A125-3EF6C6D34383}">
  <sheetPr>
    <pageSetUpPr fitToPage="1"/>
  </sheetPr>
  <dimension ref="A1:CF64"/>
  <sheetViews>
    <sheetView zoomScale="78" zoomScaleNormal="75" workbookViewId="0">
      <selection activeCell="V69" sqref="V69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332031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33203125" customWidth="1"/>
    <col min="10" max="10" width="3.6640625" customWidth="1"/>
    <col min="11" max="11" width="11.6640625" customWidth="1"/>
    <col min="12" max="13" width="3.5" customWidth="1"/>
    <col min="14" max="14" width="4.332031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33203125" customWidth="1"/>
    <col min="22" max="22" width="3" customWidth="1"/>
    <col min="23" max="23" width="1.33203125" customWidth="1"/>
    <col min="24" max="24" width="4.33203125" customWidth="1"/>
    <col min="25" max="25" width="7.1640625" customWidth="1"/>
    <col min="26" max="26" width="3.6640625" customWidth="1"/>
    <col min="27" max="27" width="1.1640625" customWidth="1"/>
    <col min="28" max="28" width="4.332031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33203125" customWidth="1"/>
    <col min="36" max="36" width="7.33203125" customWidth="1"/>
    <col min="37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332031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332031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332031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332031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332031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33203125" customWidth="1"/>
    <col min="78" max="78" width="3" customWidth="1"/>
    <col min="79" max="79" width="2.66406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332031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1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1</v>
      </c>
      <c r="G12" s="7" t="s">
        <v>26</v>
      </c>
      <c r="H12" s="1">
        <v>0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2</v>
      </c>
      <c r="G13" s="7" t="s">
        <v>26</v>
      </c>
      <c r="H13" s="1">
        <v>1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3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0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3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3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0</v>
      </c>
      <c r="G18" s="7" t="s">
        <v>26</v>
      </c>
      <c r="H18" s="1">
        <v>3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2</v>
      </c>
      <c r="G19" s="7" t="s">
        <v>26</v>
      </c>
      <c r="H19" s="1">
        <v>3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0</v>
      </c>
      <c r="G20" s="7" t="s">
        <v>26</v>
      </c>
      <c r="H20" s="1">
        <v>1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158</v>
      </c>
      <c r="D23" s="93"/>
    </row>
    <row r="24" spans="1:11" s="6" customFormat="1" ht="16" x14ac:dyDescent="0.2">
      <c r="A24" s="6" t="s">
        <v>28</v>
      </c>
      <c r="C24" s="91" t="s">
        <v>70</v>
      </c>
      <c r="D24" s="93"/>
    </row>
    <row r="25" spans="1:11" s="6" customFormat="1" ht="16" x14ac:dyDescent="0.2">
      <c r="A25" s="6" t="s">
        <v>114</v>
      </c>
      <c r="C25" s="1" t="s">
        <v>116</v>
      </c>
    </row>
    <row r="26" spans="1:11" s="6" customFormat="1" ht="16" x14ac:dyDescent="0.2">
      <c r="A26" s="6" t="s">
        <v>98</v>
      </c>
      <c r="C26" s="91" t="s">
        <v>23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14</v>
      </c>
      <c r="D28" s="93"/>
    </row>
    <row r="29" spans="1:11" s="6" customFormat="1" ht="16" x14ac:dyDescent="0.2">
      <c r="A29" s="6" t="s">
        <v>100</v>
      </c>
      <c r="C29" s="91" t="s">
        <v>17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116</v>
      </c>
    </row>
    <row r="43" spans="1:18" s="15" customFormat="1" ht="16" x14ac:dyDescent="0.2">
      <c r="A43" s="15" t="s">
        <v>91</v>
      </c>
      <c r="F43" s="1">
        <v>9</v>
      </c>
    </row>
    <row r="44" spans="1:18" s="15" customFormat="1" ht="16" x14ac:dyDescent="0.2">
      <c r="A44" s="15" t="s">
        <v>92</v>
      </c>
      <c r="F44" s="91" t="s">
        <v>19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46</v>
      </c>
    </row>
    <row r="47" spans="1:18" s="12" customFormat="1" ht="16" x14ac:dyDescent="0.2">
      <c r="A47" s="15" t="s">
        <v>32</v>
      </c>
      <c r="D47" s="10" t="s">
        <v>45</v>
      </c>
    </row>
    <row r="48" spans="1:18" s="12" customFormat="1" ht="16" x14ac:dyDescent="0.2">
      <c r="A48" s="15" t="s">
        <v>33</v>
      </c>
      <c r="D48" s="10" t="s">
        <v>49</v>
      </c>
    </row>
    <row r="49" spans="1:12" s="12" customFormat="1" ht="16" x14ac:dyDescent="0.2">
      <c r="A49" s="15" t="s">
        <v>34</v>
      </c>
      <c r="D49" s="10" t="s">
        <v>51</v>
      </c>
    </row>
    <row r="50" spans="1:12" s="12" customFormat="1" ht="16" x14ac:dyDescent="0.2">
      <c r="A50" s="15" t="s">
        <v>35</v>
      </c>
      <c r="D50" s="10" t="s">
        <v>48</v>
      </c>
    </row>
    <row r="51" spans="1:12" s="12" customFormat="1" ht="16" x14ac:dyDescent="0.2">
      <c r="A51" s="15" t="s">
        <v>36</v>
      </c>
      <c r="D51" s="10" t="s">
        <v>53</v>
      </c>
    </row>
    <row r="52" spans="1:12" s="12" customFormat="1" ht="16" x14ac:dyDescent="0.2">
      <c r="A52" s="15" t="s">
        <v>37</v>
      </c>
      <c r="D52" s="10" t="s">
        <v>11</v>
      </c>
    </row>
    <row r="53" spans="1:12" s="12" customFormat="1" ht="16" x14ac:dyDescent="0.2">
      <c r="A53" s="15" t="s">
        <v>38</v>
      </c>
      <c r="D53" s="10" t="s">
        <v>12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51</v>
      </c>
      <c r="G56" s="97"/>
      <c r="H56" s="97"/>
      <c r="I56" s="97"/>
      <c r="J56" s="94" t="s">
        <v>45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1</v>
      </c>
      <c r="G58" s="22" t="s">
        <v>26</v>
      </c>
      <c r="H58" s="1">
        <v>2</v>
      </c>
    </row>
    <row r="59" spans="1:12" s="18" customFormat="1" ht="16" x14ac:dyDescent="0.2">
      <c r="A59" s="20" t="s">
        <v>42</v>
      </c>
      <c r="F59" s="87" t="s">
        <v>45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45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6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DD8C-6FD7-46DC-8DF0-D7C06E0D4F1E}">
  <sheetPr>
    <pageSetUpPr fitToPage="1"/>
  </sheetPr>
  <dimension ref="A1:CF64"/>
  <sheetViews>
    <sheetView zoomScale="78" zoomScaleNormal="78" workbookViewId="0">
      <selection activeCell="H61" sqref="H61"/>
    </sheetView>
  </sheetViews>
  <sheetFormatPr baseColWidth="10" defaultColWidth="11.5" defaultRowHeight="15" x14ac:dyDescent="0.2"/>
  <cols>
    <col min="1" max="1" width="18.33203125" style="55" customWidth="1"/>
    <col min="2" max="2" width="21.5" style="55" customWidth="1"/>
    <col min="3" max="3" width="4.1640625" style="55" customWidth="1"/>
    <col min="4" max="4" width="16.33203125" style="55" customWidth="1"/>
    <col min="5" max="5" width="15.5" style="55" customWidth="1"/>
    <col min="6" max="6" width="3" style="55" customWidth="1"/>
    <col min="7" max="7" width="2.33203125" style="55" customWidth="1"/>
    <col min="8" max="8" width="3" style="55" customWidth="1"/>
    <col min="9" max="9" width="11.1640625" style="55" customWidth="1"/>
    <col min="10" max="10" width="3.6640625" style="55" customWidth="1"/>
    <col min="11" max="11" width="11.6640625" style="55" customWidth="1"/>
    <col min="12" max="13" width="3.5" style="55" customWidth="1"/>
    <col min="14" max="14" width="4.1640625" style="55" customWidth="1"/>
    <col min="15" max="15" width="3" style="55" customWidth="1"/>
    <col min="16" max="16" width="1.5" style="55" customWidth="1"/>
    <col min="17" max="17" width="2.5" style="55" customWidth="1"/>
    <col min="18" max="18" width="4" style="55" customWidth="1"/>
    <col min="19" max="19" width="3.6640625" style="55" customWidth="1"/>
    <col min="20" max="20" width="1.1640625" style="55" customWidth="1"/>
    <col min="21" max="21" width="4.1640625" style="55" customWidth="1"/>
    <col min="22" max="22" width="3" style="55" customWidth="1"/>
    <col min="23" max="23" width="1.33203125" style="55" customWidth="1"/>
    <col min="24" max="24" width="4.1640625" style="55" customWidth="1"/>
    <col min="25" max="25" width="7.1640625" style="55" customWidth="1"/>
    <col min="26" max="26" width="3.6640625" style="55" customWidth="1"/>
    <col min="27" max="27" width="1.1640625" style="55" customWidth="1"/>
    <col min="28" max="28" width="4.1640625" style="55" customWidth="1"/>
    <col min="29" max="29" width="3" style="55" customWidth="1"/>
    <col min="30" max="30" width="1.5" style="55" customWidth="1"/>
    <col min="31" max="31" width="2.5" style="55" customWidth="1"/>
    <col min="32" max="32" width="8" style="55" customWidth="1"/>
    <col min="33" max="33" width="3.6640625" style="55" customWidth="1"/>
    <col min="34" max="34" width="1.1640625" style="55" customWidth="1"/>
    <col min="35" max="35" width="4.1640625" style="55" customWidth="1"/>
    <col min="36" max="37" width="7.1640625" style="55" customWidth="1"/>
    <col min="38" max="38" width="2.5" style="55" customWidth="1"/>
    <col min="39" max="39" width="5.1640625" style="55" customWidth="1"/>
    <col min="40" max="40" width="3.6640625" style="55" customWidth="1"/>
    <col min="41" max="41" width="1.1640625" style="55" customWidth="1"/>
    <col min="42" max="42" width="4.1640625" style="55" customWidth="1"/>
    <col min="43" max="43" width="3" style="55" customWidth="1"/>
    <col min="44" max="44" width="1.33203125" style="55" customWidth="1"/>
    <col min="45" max="45" width="2.5" style="55" customWidth="1"/>
    <col min="46" max="46" width="4.5" style="55" customWidth="1"/>
    <col min="47" max="47" width="3.6640625" style="55" customWidth="1"/>
    <col min="48" max="48" width="1.1640625" style="55" customWidth="1"/>
    <col min="49" max="49" width="4.1640625" style="55" customWidth="1"/>
    <col min="50" max="50" width="3" style="55" customWidth="1"/>
    <col min="51" max="51" width="1.33203125" style="55" customWidth="1"/>
    <col min="52" max="52" width="2.5" style="55" customWidth="1"/>
    <col min="53" max="53" width="7.6640625" style="55" customWidth="1"/>
    <col min="54" max="54" width="3.6640625" style="55" customWidth="1"/>
    <col min="55" max="55" width="1.1640625" style="55" customWidth="1"/>
    <col min="56" max="56" width="4.1640625" style="55" customWidth="1"/>
    <col min="57" max="57" width="3" style="55" customWidth="1"/>
    <col min="58" max="58" width="1.5" style="55" customWidth="1"/>
    <col min="59" max="59" width="2.5" style="55" customWidth="1"/>
    <col min="60" max="60" width="6.5" style="55" customWidth="1"/>
    <col min="61" max="61" width="3.6640625" style="55" customWidth="1"/>
    <col min="62" max="62" width="1.1640625" style="55" customWidth="1"/>
    <col min="63" max="63" width="4.1640625" style="55" customWidth="1"/>
    <col min="64" max="64" width="3" style="55" customWidth="1"/>
    <col min="65" max="65" width="3.1640625" style="55" customWidth="1"/>
    <col min="66" max="66" width="2.5" style="55" customWidth="1"/>
    <col min="67" max="67" width="5.1640625" style="55" customWidth="1"/>
    <col min="68" max="68" width="3.6640625" style="55" customWidth="1"/>
    <col min="69" max="69" width="1.1640625" style="55" customWidth="1"/>
    <col min="70" max="70" width="4.1640625" style="55" customWidth="1"/>
    <col min="71" max="71" width="3" style="55" customWidth="1"/>
    <col min="72" max="72" width="1.5" style="55" customWidth="1"/>
    <col min="73" max="73" width="2.5" style="55" customWidth="1"/>
    <col min="74" max="74" width="5.1640625" style="55" customWidth="1"/>
    <col min="75" max="75" width="3.6640625" style="55" customWidth="1"/>
    <col min="76" max="76" width="1.1640625" style="55" customWidth="1"/>
    <col min="77" max="77" width="4.1640625" style="55" customWidth="1"/>
    <col min="78" max="78" width="3" style="55" customWidth="1"/>
    <col min="79" max="79" width="2.83203125" style="55" customWidth="1"/>
    <col min="80" max="80" width="2.5" style="55" customWidth="1"/>
    <col min="81" max="81" width="6.1640625" style="55" customWidth="1"/>
    <col min="82" max="82" width="3.6640625" style="55" customWidth="1"/>
    <col min="83" max="83" width="1.1640625" style="55" customWidth="1"/>
    <col min="84" max="84" width="4.1640625" style="55" customWidth="1"/>
    <col min="85" max="85" width="3" style="55" customWidth="1"/>
    <col min="86" max="86" width="1.5" style="55" customWidth="1"/>
    <col min="87" max="87" width="2.5" style="55" customWidth="1"/>
    <col min="88" max="88" width="5.1640625" style="55" customWidth="1"/>
    <col min="89" max="89" width="3.6640625" style="55" customWidth="1"/>
    <col min="90" max="90" width="1.1640625" style="55" customWidth="1"/>
    <col min="91" max="16384" width="11.5" style="55"/>
  </cols>
  <sheetData>
    <row r="1" spans="1:84" s="29" customFormat="1" ht="30" customHeight="1" x14ac:dyDescent="0.2">
      <c r="A1" s="103" t="s">
        <v>59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84" s="29" customFormat="1" ht="19" x14ac:dyDescent="0.25">
      <c r="A2" s="30" t="s">
        <v>0</v>
      </c>
      <c r="F2" s="104"/>
      <c r="G2" s="104"/>
      <c r="H2" s="104"/>
      <c r="I2" s="104"/>
      <c r="J2" s="31"/>
    </row>
    <row r="3" spans="1:84" s="29" customFormat="1" ht="16" x14ac:dyDescent="0.2">
      <c r="A3" s="32" t="s">
        <v>1</v>
      </c>
      <c r="B3" s="32" t="s">
        <v>2</v>
      </c>
      <c r="C3" s="102" t="s">
        <v>3</v>
      </c>
      <c r="D3" s="102"/>
      <c r="E3" s="32" t="s">
        <v>4</v>
      </c>
      <c r="F3" s="102" t="s">
        <v>5</v>
      </c>
      <c r="G3" s="102"/>
      <c r="H3" s="102"/>
      <c r="I3" s="102"/>
      <c r="J3" s="33"/>
      <c r="K3" s="32" t="s">
        <v>6</v>
      </c>
      <c r="N3" s="32" t="s">
        <v>7</v>
      </c>
      <c r="S3" s="32" t="s">
        <v>8</v>
      </c>
      <c r="Y3" s="32" t="s">
        <v>54</v>
      </c>
      <c r="Z3" s="32"/>
      <c r="AA3" s="32"/>
      <c r="AB3" s="32"/>
      <c r="AC3" s="32" t="s">
        <v>55</v>
      </c>
      <c r="AD3" s="32"/>
      <c r="AE3" s="32"/>
      <c r="AF3" s="32"/>
      <c r="AG3" s="32" t="s">
        <v>56</v>
      </c>
      <c r="AH3" s="32"/>
      <c r="AI3" s="32"/>
      <c r="AJ3" s="32"/>
      <c r="AK3" s="32" t="s">
        <v>57</v>
      </c>
      <c r="AL3" s="32"/>
    </row>
    <row r="4" spans="1:84" s="29" customFormat="1" ht="16" x14ac:dyDescent="0.2">
      <c r="A4" s="32" t="s">
        <v>19</v>
      </c>
      <c r="B4" s="32" t="s">
        <v>15</v>
      </c>
      <c r="C4" s="102" t="s">
        <v>48</v>
      </c>
      <c r="D4" s="102"/>
      <c r="E4" s="32" t="s">
        <v>18</v>
      </c>
      <c r="F4" s="102" t="s">
        <v>46</v>
      </c>
      <c r="G4" s="102"/>
      <c r="H4" s="102"/>
      <c r="I4" s="102"/>
      <c r="J4" s="33"/>
      <c r="K4" s="32" t="s">
        <v>50</v>
      </c>
      <c r="N4" s="32" t="s">
        <v>47</v>
      </c>
      <c r="S4" s="102" t="s">
        <v>49</v>
      </c>
      <c r="T4" s="102"/>
      <c r="U4" s="102"/>
      <c r="V4" s="102"/>
      <c r="Y4" s="32" t="s">
        <v>45</v>
      </c>
      <c r="AC4" s="32" t="s">
        <v>11</v>
      </c>
      <c r="AG4" s="32" t="s">
        <v>12</v>
      </c>
      <c r="AK4" s="32" t="s">
        <v>10</v>
      </c>
    </row>
    <row r="5" spans="1:84" s="29" customFormat="1" ht="16" x14ac:dyDescent="0.2">
      <c r="A5" s="32" t="s">
        <v>67</v>
      </c>
      <c r="B5" s="32" t="s">
        <v>9</v>
      </c>
      <c r="C5" s="102" t="s">
        <v>53</v>
      </c>
      <c r="D5" s="102"/>
      <c r="E5" s="32" t="s">
        <v>72</v>
      </c>
      <c r="F5" s="102" t="s">
        <v>73</v>
      </c>
      <c r="G5" s="102"/>
      <c r="H5" s="102"/>
      <c r="I5" s="102"/>
      <c r="J5" s="33"/>
      <c r="K5" s="32" t="s">
        <v>21</v>
      </c>
      <c r="N5" s="32" t="s">
        <v>14</v>
      </c>
      <c r="S5" s="32" t="s">
        <v>75</v>
      </c>
      <c r="Y5" s="32" t="s">
        <v>77</v>
      </c>
      <c r="AC5" s="32" t="s">
        <v>79</v>
      </c>
      <c r="AG5" s="32" t="s">
        <v>81</v>
      </c>
      <c r="AK5" s="32" t="s">
        <v>51</v>
      </c>
    </row>
    <row r="6" spans="1:84" s="29" customFormat="1" ht="16" x14ac:dyDescent="0.2">
      <c r="A6" s="32" t="s">
        <v>68</v>
      </c>
      <c r="B6" s="32" t="s">
        <v>70</v>
      </c>
      <c r="C6" s="102" t="s">
        <v>58</v>
      </c>
      <c r="D6" s="102"/>
      <c r="E6" s="32" t="s">
        <v>23</v>
      </c>
      <c r="F6" s="102" t="s">
        <v>13</v>
      </c>
      <c r="G6" s="102"/>
      <c r="H6" s="102"/>
      <c r="I6" s="102"/>
      <c r="J6" s="33"/>
      <c r="K6" s="32" t="s">
        <v>74</v>
      </c>
      <c r="N6" s="32" t="s">
        <v>61</v>
      </c>
      <c r="S6" s="32" t="s">
        <v>22</v>
      </c>
      <c r="Y6" s="32" t="s">
        <v>78</v>
      </c>
      <c r="AC6" s="32" t="s">
        <v>63</v>
      </c>
      <c r="AG6" s="32" t="s">
        <v>65</v>
      </c>
      <c r="AK6" s="32" t="s">
        <v>66</v>
      </c>
    </row>
    <row r="7" spans="1:84" s="29" customFormat="1" ht="16" x14ac:dyDescent="0.2">
      <c r="A7" s="32" t="s">
        <v>69</v>
      </c>
      <c r="B7" s="32" t="s">
        <v>52</v>
      </c>
      <c r="C7" s="102" t="s">
        <v>71</v>
      </c>
      <c r="D7" s="102"/>
      <c r="E7" s="32" t="s">
        <v>64</v>
      </c>
      <c r="F7" s="102" t="s">
        <v>60</v>
      </c>
      <c r="G7" s="102"/>
      <c r="H7" s="102"/>
      <c r="I7" s="102"/>
      <c r="J7" s="33"/>
      <c r="K7" s="32" t="s">
        <v>20</v>
      </c>
      <c r="N7" s="32" t="s">
        <v>62</v>
      </c>
      <c r="S7" s="32" t="s">
        <v>76</v>
      </c>
      <c r="Y7" s="32" t="s">
        <v>17</v>
      </c>
      <c r="AC7" s="32" t="s">
        <v>80</v>
      </c>
      <c r="AG7" s="102" t="s">
        <v>82</v>
      </c>
      <c r="AH7" s="102"/>
      <c r="AI7" s="102"/>
      <c r="AJ7" s="102"/>
      <c r="AK7" s="32" t="s">
        <v>16</v>
      </c>
    </row>
    <row r="8" spans="1:84" s="29" customFormat="1" ht="16" x14ac:dyDescent="0.2">
      <c r="A8" s="32"/>
      <c r="B8" s="34"/>
      <c r="C8" s="34"/>
      <c r="D8" s="34"/>
      <c r="E8" s="34"/>
      <c r="F8" s="34"/>
      <c r="G8" s="34"/>
      <c r="H8" s="34"/>
      <c r="L8" s="34"/>
      <c r="M8" s="34"/>
      <c r="N8" s="34"/>
      <c r="U8" s="34"/>
      <c r="AB8" s="34"/>
      <c r="AG8" s="102"/>
      <c r="AH8" s="102"/>
      <c r="AI8" s="102"/>
      <c r="AJ8" s="102"/>
      <c r="AP8" s="34"/>
      <c r="AW8" s="34"/>
      <c r="BD8" s="34"/>
      <c r="BK8" s="34"/>
      <c r="BR8" s="34"/>
      <c r="BY8" s="34"/>
      <c r="CF8" s="34"/>
    </row>
    <row r="9" spans="1:84" s="36" customFormat="1" ht="19" x14ac:dyDescent="0.25">
      <c r="A9" s="35" t="s">
        <v>24</v>
      </c>
    </row>
    <row r="10" spans="1:84" s="36" customFormat="1" ht="16" x14ac:dyDescent="0.2">
      <c r="A10" s="37" t="s">
        <v>25</v>
      </c>
    </row>
    <row r="11" spans="1:84" s="36" customFormat="1" ht="16" x14ac:dyDescent="0.2">
      <c r="A11" s="38" t="s">
        <v>121</v>
      </c>
      <c r="B11" s="38"/>
      <c r="C11" s="38"/>
      <c r="F11" s="39">
        <v>3</v>
      </c>
      <c r="G11" s="40" t="s">
        <v>26</v>
      </c>
      <c r="H11" s="39">
        <v>1</v>
      </c>
      <c r="I11" s="38"/>
      <c r="J11" s="38"/>
      <c r="K11" s="38"/>
    </row>
    <row r="12" spans="1:84" s="36" customFormat="1" ht="16" x14ac:dyDescent="0.2">
      <c r="A12" s="38" t="s">
        <v>122</v>
      </c>
      <c r="B12" s="38"/>
      <c r="C12" s="38"/>
      <c r="F12" s="39">
        <v>0</v>
      </c>
      <c r="G12" s="40" t="s">
        <v>26</v>
      </c>
      <c r="H12" s="39">
        <v>0</v>
      </c>
      <c r="I12" s="38"/>
      <c r="J12" s="38"/>
      <c r="K12" s="38"/>
    </row>
    <row r="13" spans="1:84" s="36" customFormat="1" ht="16" x14ac:dyDescent="0.2">
      <c r="A13" s="38" t="s">
        <v>123</v>
      </c>
      <c r="B13" s="38"/>
      <c r="C13" s="38"/>
      <c r="F13" s="39">
        <v>4</v>
      </c>
      <c r="G13" s="40" t="s">
        <v>26</v>
      </c>
      <c r="H13" s="39">
        <v>0</v>
      </c>
      <c r="I13" s="38"/>
      <c r="J13" s="38"/>
      <c r="K13" s="38"/>
    </row>
    <row r="14" spans="1:84" s="36" customFormat="1" ht="16" x14ac:dyDescent="0.2">
      <c r="A14" s="38" t="s">
        <v>124</v>
      </c>
      <c r="B14" s="38"/>
      <c r="C14" s="38"/>
      <c r="F14" s="39">
        <v>1</v>
      </c>
      <c r="G14" s="40" t="s">
        <v>26</v>
      </c>
      <c r="H14" s="39">
        <v>0</v>
      </c>
      <c r="I14" s="38"/>
      <c r="J14" s="38"/>
      <c r="K14" s="38"/>
    </row>
    <row r="15" spans="1:84" s="36" customFormat="1" ht="16" x14ac:dyDescent="0.2">
      <c r="A15" s="38" t="s">
        <v>125</v>
      </c>
      <c r="B15" s="38"/>
      <c r="C15" s="38"/>
      <c r="F15" s="39">
        <v>2</v>
      </c>
      <c r="G15" s="40" t="s">
        <v>26</v>
      </c>
      <c r="H15" s="39">
        <v>0</v>
      </c>
      <c r="I15" s="38"/>
      <c r="J15" s="38"/>
      <c r="K15" s="38"/>
    </row>
    <row r="16" spans="1:84" s="36" customFormat="1" ht="16" x14ac:dyDescent="0.2">
      <c r="A16" s="38" t="s">
        <v>126</v>
      </c>
      <c r="B16" s="38"/>
      <c r="C16" s="38"/>
      <c r="F16" s="39">
        <v>1</v>
      </c>
      <c r="G16" s="40" t="s">
        <v>26</v>
      </c>
      <c r="H16" s="39">
        <v>1</v>
      </c>
      <c r="I16" s="38"/>
      <c r="J16" s="38"/>
      <c r="K16" s="38"/>
    </row>
    <row r="17" spans="1:11" s="36" customFormat="1" ht="16" x14ac:dyDescent="0.2">
      <c r="A17" s="38" t="s">
        <v>127</v>
      </c>
      <c r="B17" s="38"/>
      <c r="C17" s="38"/>
      <c r="F17" s="39">
        <v>2</v>
      </c>
      <c r="G17" s="40" t="s">
        <v>26</v>
      </c>
      <c r="H17" s="39">
        <v>2</v>
      </c>
      <c r="I17" s="38"/>
      <c r="J17" s="38"/>
      <c r="K17" s="38"/>
    </row>
    <row r="18" spans="1:11" s="36" customFormat="1" ht="16" x14ac:dyDescent="0.2">
      <c r="A18" s="38" t="s">
        <v>128</v>
      </c>
      <c r="B18" s="38"/>
      <c r="C18" s="38"/>
      <c r="F18" s="39">
        <v>1</v>
      </c>
      <c r="G18" s="40" t="s">
        <v>26</v>
      </c>
      <c r="H18" s="39">
        <v>2</v>
      </c>
      <c r="I18" s="38"/>
      <c r="J18" s="38"/>
      <c r="K18" s="38"/>
    </row>
    <row r="19" spans="1:11" s="36" customFormat="1" ht="16" x14ac:dyDescent="0.2">
      <c r="A19" s="38" t="s">
        <v>129</v>
      </c>
      <c r="B19" s="38"/>
      <c r="C19" s="38"/>
      <c r="F19" s="39">
        <v>0</v>
      </c>
      <c r="G19" s="40" t="s">
        <v>26</v>
      </c>
      <c r="H19" s="39">
        <v>3</v>
      </c>
      <c r="I19" s="38"/>
      <c r="J19" s="38"/>
      <c r="K19" s="38"/>
    </row>
    <row r="20" spans="1:11" s="36" customFormat="1" ht="16" x14ac:dyDescent="0.2">
      <c r="A20" s="38" t="s">
        <v>130</v>
      </c>
      <c r="B20" s="38"/>
      <c r="C20" s="38"/>
      <c r="F20" s="39">
        <v>0</v>
      </c>
      <c r="G20" s="40" t="s">
        <v>26</v>
      </c>
      <c r="H20" s="39">
        <v>3</v>
      </c>
      <c r="I20" s="38"/>
      <c r="J20" s="38"/>
      <c r="K20" s="38"/>
    </row>
    <row r="21" spans="1:11" s="38" customFormat="1" ht="16" x14ac:dyDescent="0.2"/>
    <row r="22" spans="1:11" s="38" customFormat="1" ht="16" x14ac:dyDescent="0.2">
      <c r="A22" s="37" t="s">
        <v>27</v>
      </c>
    </row>
    <row r="23" spans="1:11" s="38" customFormat="1" ht="16" x14ac:dyDescent="0.2">
      <c r="A23" s="38" t="s">
        <v>97</v>
      </c>
      <c r="C23" s="99" t="s">
        <v>68</v>
      </c>
      <c r="D23" s="99"/>
    </row>
    <row r="24" spans="1:11" s="38" customFormat="1" ht="16" x14ac:dyDescent="0.2">
      <c r="A24" s="38" t="s">
        <v>28</v>
      </c>
      <c r="C24" s="99" t="s">
        <v>15</v>
      </c>
      <c r="D24" s="99"/>
    </row>
    <row r="25" spans="1:11" s="38" customFormat="1" ht="16" x14ac:dyDescent="0.2">
      <c r="A25" s="38" t="s">
        <v>114</v>
      </c>
      <c r="C25" s="39" t="s">
        <v>116</v>
      </c>
    </row>
    <row r="26" spans="1:11" s="38" customFormat="1" ht="16" x14ac:dyDescent="0.2">
      <c r="A26" s="38" t="s">
        <v>98</v>
      </c>
      <c r="C26" s="99" t="s">
        <v>18</v>
      </c>
      <c r="D26" s="99"/>
    </row>
    <row r="27" spans="1:11" s="38" customFormat="1" ht="16" x14ac:dyDescent="0.2">
      <c r="A27" s="38" t="s">
        <v>29</v>
      </c>
      <c r="C27" s="99" t="s">
        <v>50</v>
      </c>
      <c r="D27" s="99"/>
    </row>
    <row r="28" spans="1:11" s="38" customFormat="1" ht="16" x14ac:dyDescent="0.2">
      <c r="A28" s="38" t="s">
        <v>99</v>
      </c>
      <c r="C28" s="99" t="s">
        <v>47</v>
      </c>
      <c r="D28" s="99"/>
    </row>
    <row r="29" spans="1:11" s="38" customFormat="1" ht="16" x14ac:dyDescent="0.2">
      <c r="A29" s="38" t="s">
        <v>100</v>
      </c>
      <c r="C29" s="99" t="s">
        <v>17</v>
      </c>
      <c r="D29" s="99"/>
    </row>
    <row r="30" spans="1:11" s="38" customFormat="1" ht="16" x14ac:dyDescent="0.2">
      <c r="A30" s="38" t="s">
        <v>115</v>
      </c>
      <c r="C30" s="39" t="s">
        <v>116</v>
      </c>
    </row>
    <row r="31" spans="1:11" s="38" customFormat="1" ht="16" x14ac:dyDescent="0.2"/>
    <row r="32" spans="1:11" s="42" customFormat="1" ht="19" x14ac:dyDescent="0.25">
      <c r="A32" s="41" t="s">
        <v>93</v>
      </c>
    </row>
    <row r="33" spans="1:18" s="42" customFormat="1" ht="16" x14ac:dyDescent="0.2">
      <c r="A33" s="43" t="s">
        <v>39</v>
      </c>
    </row>
    <row r="34" spans="1:18" s="42" customFormat="1" ht="16" x14ac:dyDescent="0.2">
      <c r="A34" s="42" t="s">
        <v>110</v>
      </c>
      <c r="F34" s="39" t="s">
        <v>116</v>
      </c>
    </row>
    <row r="35" spans="1:18" s="42" customFormat="1" ht="16" x14ac:dyDescent="0.2">
      <c r="A35" s="42" t="s">
        <v>106</v>
      </c>
      <c r="F35" s="39" t="s">
        <v>119</v>
      </c>
    </row>
    <row r="36" spans="1:18" s="42" customFormat="1" ht="16" x14ac:dyDescent="0.2">
      <c r="A36" s="42" t="s">
        <v>113</v>
      </c>
      <c r="F36" s="39" t="s">
        <v>119</v>
      </c>
    </row>
    <row r="37" spans="1:18" s="42" customFormat="1" ht="16" x14ac:dyDescent="0.2">
      <c r="A37" s="42" t="s">
        <v>111</v>
      </c>
      <c r="I37" s="42" t="s">
        <v>93</v>
      </c>
      <c r="J37" s="39"/>
      <c r="K37" s="44" t="s">
        <v>112</v>
      </c>
      <c r="L37" s="39" t="s">
        <v>159</v>
      </c>
      <c r="M37" s="100" t="s">
        <v>104</v>
      </c>
      <c r="N37" s="100"/>
      <c r="O37" s="100"/>
      <c r="P37" s="100"/>
      <c r="Q37" s="100"/>
      <c r="R37" s="39"/>
    </row>
    <row r="38" spans="1:18" s="42" customFormat="1" ht="16" x14ac:dyDescent="0.2">
      <c r="A38" s="42" t="s">
        <v>101</v>
      </c>
      <c r="I38" s="42" t="s">
        <v>102</v>
      </c>
      <c r="J38" s="39"/>
      <c r="K38" s="44" t="s">
        <v>103</v>
      </c>
      <c r="L38" s="39" t="s">
        <v>159</v>
      </c>
      <c r="M38" s="100" t="s">
        <v>105</v>
      </c>
      <c r="N38" s="100"/>
      <c r="O38" s="100"/>
      <c r="P38" s="100"/>
      <c r="Q38" s="100"/>
      <c r="R38" s="39"/>
    </row>
    <row r="39" spans="1:18" s="42" customFormat="1" ht="16" x14ac:dyDescent="0.2"/>
    <row r="40" spans="1:18" s="46" customFormat="1" ht="19" x14ac:dyDescent="0.25">
      <c r="A40" s="45" t="s">
        <v>90</v>
      </c>
    </row>
    <row r="41" spans="1:18" s="46" customFormat="1" ht="16" x14ac:dyDescent="0.2">
      <c r="A41" s="47" t="s">
        <v>39</v>
      </c>
    </row>
    <row r="42" spans="1:18" s="46" customFormat="1" ht="16" x14ac:dyDescent="0.2">
      <c r="A42" s="48" t="s">
        <v>109</v>
      </c>
      <c r="F42" s="39" t="s">
        <v>119</v>
      </c>
    </row>
    <row r="43" spans="1:18" s="48" customFormat="1" ht="16" x14ac:dyDescent="0.2">
      <c r="A43" s="48" t="s">
        <v>91</v>
      </c>
      <c r="F43" s="39">
        <v>8</v>
      </c>
    </row>
    <row r="44" spans="1:18" s="48" customFormat="1" ht="16" x14ac:dyDescent="0.2">
      <c r="A44" s="48" t="s">
        <v>92</v>
      </c>
      <c r="F44" s="99" t="s">
        <v>18</v>
      </c>
      <c r="G44" s="99"/>
      <c r="H44" s="99"/>
      <c r="I44" s="99"/>
      <c r="J44" s="99"/>
      <c r="K44" s="99"/>
      <c r="L44" s="99"/>
      <c r="M44" s="99"/>
      <c r="N44" s="99"/>
      <c r="O44" s="99"/>
    </row>
    <row r="45" spans="1:18" s="46" customFormat="1" ht="16" x14ac:dyDescent="0.2">
      <c r="A45" s="48" t="s">
        <v>30</v>
      </c>
    </row>
    <row r="46" spans="1:18" s="46" customFormat="1" ht="16" x14ac:dyDescent="0.2">
      <c r="A46" s="48" t="s">
        <v>31</v>
      </c>
      <c r="D46" s="49" t="s">
        <v>45</v>
      </c>
    </row>
    <row r="47" spans="1:18" s="46" customFormat="1" ht="16" x14ac:dyDescent="0.2">
      <c r="A47" s="48" t="s">
        <v>32</v>
      </c>
      <c r="D47" s="49" t="s">
        <v>53</v>
      </c>
    </row>
    <row r="48" spans="1:18" s="46" customFormat="1" ht="16" x14ac:dyDescent="0.2">
      <c r="A48" s="48" t="s">
        <v>33</v>
      </c>
      <c r="D48" s="49" t="s">
        <v>49</v>
      </c>
    </row>
    <row r="49" spans="1:12" s="46" customFormat="1" ht="16" x14ac:dyDescent="0.2">
      <c r="A49" s="48" t="s">
        <v>34</v>
      </c>
      <c r="D49" s="49" t="s">
        <v>18</v>
      </c>
    </row>
    <row r="50" spans="1:12" s="46" customFormat="1" ht="16" x14ac:dyDescent="0.2">
      <c r="A50" s="48" t="s">
        <v>35</v>
      </c>
      <c r="D50" s="49" t="s">
        <v>48</v>
      </c>
    </row>
    <row r="51" spans="1:12" s="46" customFormat="1" ht="16" x14ac:dyDescent="0.2">
      <c r="A51" s="48" t="s">
        <v>36</v>
      </c>
      <c r="D51" s="49" t="s">
        <v>10</v>
      </c>
    </row>
    <row r="52" spans="1:12" s="46" customFormat="1" ht="16" x14ac:dyDescent="0.2">
      <c r="A52" s="48" t="s">
        <v>37</v>
      </c>
      <c r="D52" s="49" t="s">
        <v>11</v>
      </c>
    </row>
    <row r="53" spans="1:12" s="46" customFormat="1" ht="16" x14ac:dyDescent="0.2">
      <c r="A53" s="48" t="s">
        <v>38</v>
      </c>
      <c r="D53" s="49" t="s">
        <v>12</v>
      </c>
    </row>
    <row r="54" spans="1:12" s="46" customFormat="1" ht="16" x14ac:dyDescent="0.2">
      <c r="A54" s="48"/>
    </row>
    <row r="55" spans="1:12" s="51" customFormat="1" ht="19" x14ac:dyDescent="0.25">
      <c r="A55" s="50" t="s">
        <v>40</v>
      </c>
    </row>
    <row r="56" spans="1:12" s="51" customFormat="1" ht="16" x14ac:dyDescent="0.2">
      <c r="A56" s="52" t="s">
        <v>132</v>
      </c>
      <c r="F56" s="98" t="s">
        <v>49</v>
      </c>
      <c r="G56" s="98"/>
      <c r="H56" s="98"/>
      <c r="I56" s="98"/>
      <c r="J56" s="101" t="s">
        <v>10</v>
      </c>
      <c r="K56" s="101"/>
      <c r="L56" s="101"/>
    </row>
    <row r="57" spans="1:12" s="51" customFormat="1" ht="16" x14ac:dyDescent="0.2">
      <c r="A57" s="53" t="s">
        <v>108</v>
      </c>
    </row>
    <row r="58" spans="1:12" s="51" customFormat="1" ht="16" x14ac:dyDescent="0.2">
      <c r="A58" s="52" t="s">
        <v>133</v>
      </c>
      <c r="F58" s="39">
        <v>1</v>
      </c>
      <c r="G58" s="54" t="s">
        <v>26</v>
      </c>
      <c r="H58" s="39">
        <v>1</v>
      </c>
    </row>
    <row r="59" spans="1:12" s="51" customFormat="1" ht="16" x14ac:dyDescent="0.2">
      <c r="A59" s="52" t="s">
        <v>134</v>
      </c>
      <c r="F59" s="98" t="s">
        <v>49</v>
      </c>
      <c r="G59" s="98"/>
      <c r="H59" s="98"/>
      <c r="I59" s="98"/>
    </row>
    <row r="60" spans="1:12" s="51" customFormat="1" ht="16" x14ac:dyDescent="0.2">
      <c r="A60" s="52" t="s">
        <v>135</v>
      </c>
      <c r="F60" s="98" t="s">
        <v>45</v>
      </c>
      <c r="G60" s="98"/>
      <c r="H60" s="98"/>
      <c r="I60" s="98"/>
    </row>
    <row r="61" spans="1:12" s="51" customFormat="1" x14ac:dyDescent="0.2"/>
    <row r="62" spans="1:12" s="51" customFormat="1" x14ac:dyDescent="0.2"/>
    <row r="63" spans="1:12" s="51" customFormat="1" x14ac:dyDescent="0.2"/>
    <row r="64" spans="1:12" s="51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511811023622047" footer="0.511811023622047"/>
  <pageSetup paperSize="8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B4FC-945B-40F6-A727-683DAE46335D}">
  <sheetPr>
    <pageSetUpPr fitToPage="1"/>
  </sheetPr>
  <dimension ref="A1:CF64"/>
  <sheetViews>
    <sheetView zoomScale="130" zoomScaleNormal="130" workbookViewId="0">
      <selection activeCell="F61" sqref="F61"/>
    </sheetView>
  </sheetViews>
  <sheetFormatPr baseColWidth="10" defaultColWidth="11.5" defaultRowHeight="15" x14ac:dyDescent="0.2"/>
  <cols>
    <col min="1" max="1" width="18.33203125" customWidth="1"/>
    <col min="2" max="2" width="21.5" customWidth="1"/>
    <col min="3" max="3" width="4.1640625" customWidth="1"/>
    <col min="4" max="4" width="16.33203125" customWidth="1"/>
    <col min="5" max="5" width="15.5" customWidth="1"/>
    <col min="6" max="6" width="3" bestFit="1" customWidth="1"/>
    <col min="7" max="7" width="2.33203125" customWidth="1"/>
    <col min="8" max="8" width="3" bestFit="1" customWidth="1"/>
    <col min="9" max="9" width="11.1640625" customWidth="1"/>
    <col min="10" max="10" width="3.6640625" customWidth="1"/>
    <col min="11" max="11" width="11.6640625" customWidth="1"/>
    <col min="12" max="13" width="3.5" customWidth="1"/>
    <col min="14" max="14" width="4.1640625" customWidth="1"/>
    <col min="15" max="15" width="3" customWidth="1"/>
    <col min="16" max="16" width="1.5" customWidth="1"/>
    <col min="17" max="17" width="2.5" customWidth="1"/>
    <col min="18" max="18" width="4" customWidth="1"/>
    <col min="19" max="19" width="3.6640625" customWidth="1"/>
    <col min="20" max="20" width="1.1640625" customWidth="1"/>
    <col min="21" max="21" width="4.1640625" customWidth="1"/>
    <col min="22" max="22" width="3" customWidth="1"/>
    <col min="23" max="23" width="1.33203125" customWidth="1"/>
    <col min="24" max="24" width="4.1640625" customWidth="1"/>
    <col min="25" max="25" width="7.1640625" customWidth="1"/>
    <col min="26" max="26" width="3.6640625" customWidth="1"/>
    <col min="27" max="27" width="1.1640625" customWidth="1"/>
    <col min="28" max="28" width="4.1640625" customWidth="1"/>
    <col min="29" max="29" width="3" customWidth="1"/>
    <col min="30" max="30" width="1.5" customWidth="1"/>
    <col min="31" max="31" width="2.5" customWidth="1"/>
    <col min="32" max="32" width="8" customWidth="1"/>
    <col min="33" max="33" width="3.6640625" customWidth="1"/>
    <col min="34" max="34" width="1.1640625" customWidth="1"/>
    <col min="35" max="35" width="4.1640625" customWidth="1"/>
    <col min="36" max="37" width="7.1640625" customWidth="1"/>
    <col min="38" max="38" width="2.5" customWidth="1"/>
    <col min="39" max="39" width="5.1640625" customWidth="1"/>
    <col min="40" max="40" width="3.6640625" customWidth="1"/>
    <col min="41" max="41" width="1.1640625" customWidth="1"/>
    <col min="42" max="42" width="4.1640625" customWidth="1"/>
    <col min="43" max="43" width="3" customWidth="1"/>
    <col min="44" max="44" width="1.33203125" customWidth="1"/>
    <col min="45" max="45" width="2.5" customWidth="1"/>
    <col min="46" max="46" width="4.5" customWidth="1"/>
    <col min="47" max="47" width="3.6640625" customWidth="1"/>
    <col min="48" max="48" width="1.1640625" customWidth="1"/>
    <col min="49" max="49" width="4.1640625" customWidth="1"/>
    <col min="50" max="50" width="3" customWidth="1"/>
    <col min="51" max="51" width="1.33203125" customWidth="1"/>
    <col min="52" max="52" width="2.5" customWidth="1"/>
    <col min="53" max="53" width="7.6640625" customWidth="1"/>
    <col min="54" max="54" width="3.6640625" customWidth="1"/>
    <col min="55" max="55" width="1.1640625" customWidth="1"/>
    <col min="56" max="56" width="4.1640625" customWidth="1"/>
    <col min="57" max="57" width="3" customWidth="1"/>
    <col min="58" max="58" width="1.5" customWidth="1"/>
    <col min="59" max="59" width="2.5" customWidth="1"/>
    <col min="60" max="60" width="6.5" customWidth="1"/>
    <col min="61" max="61" width="3.6640625" customWidth="1"/>
    <col min="62" max="62" width="1.1640625" customWidth="1"/>
    <col min="63" max="63" width="4.1640625" customWidth="1"/>
    <col min="64" max="64" width="3" customWidth="1"/>
    <col min="65" max="65" width="3.1640625" customWidth="1"/>
    <col min="66" max="66" width="2.5" customWidth="1"/>
    <col min="67" max="67" width="5.1640625" customWidth="1"/>
    <col min="68" max="68" width="3.6640625" customWidth="1"/>
    <col min="69" max="69" width="1.1640625" customWidth="1"/>
    <col min="70" max="70" width="4.1640625" customWidth="1"/>
    <col min="71" max="71" width="3" customWidth="1"/>
    <col min="72" max="72" width="1.5" customWidth="1"/>
    <col min="73" max="73" width="2.5" customWidth="1"/>
    <col min="74" max="74" width="5.1640625" customWidth="1"/>
    <col min="75" max="75" width="3.6640625" customWidth="1"/>
    <col min="76" max="76" width="1.1640625" customWidth="1"/>
    <col min="77" max="77" width="4.1640625" customWidth="1"/>
    <col min="78" max="78" width="3" customWidth="1"/>
    <col min="79" max="79" width="2.83203125" customWidth="1"/>
    <col min="80" max="80" width="2.5" customWidth="1"/>
    <col min="81" max="81" width="6.1640625" customWidth="1"/>
    <col min="82" max="82" width="3.6640625" customWidth="1"/>
    <col min="83" max="83" width="1.1640625" customWidth="1"/>
    <col min="84" max="84" width="4.1640625" customWidth="1"/>
    <col min="85" max="85" width="3" customWidth="1"/>
    <col min="86" max="86" width="1.5" customWidth="1"/>
    <col min="87" max="87" width="2.5" customWidth="1"/>
    <col min="88" max="88" width="5.1640625" customWidth="1"/>
    <col min="89" max="89" width="3.6640625" customWidth="1"/>
    <col min="90" max="90" width="1.1640625" customWidth="1"/>
  </cols>
  <sheetData>
    <row r="1" spans="1:84" s="2" customFormat="1" ht="30.5" customHeight="1" x14ac:dyDescent="0.2">
      <c r="A1" s="90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84" s="2" customFormat="1" ht="19" x14ac:dyDescent="0.25">
      <c r="A2" s="9" t="s">
        <v>0</v>
      </c>
      <c r="F2" s="84"/>
      <c r="G2" s="84"/>
      <c r="H2" s="84"/>
      <c r="I2" s="84"/>
      <c r="J2" s="24"/>
    </row>
    <row r="3" spans="1:84" s="2" customFormat="1" ht="16" x14ac:dyDescent="0.2">
      <c r="A3" s="8" t="s">
        <v>1</v>
      </c>
      <c r="B3" s="8" t="s">
        <v>2</v>
      </c>
      <c r="C3" s="83" t="s">
        <v>3</v>
      </c>
      <c r="D3" s="83"/>
      <c r="E3" s="8" t="s">
        <v>4</v>
      </c>
      <c r="F3" s="83" t="s">
        <v>5</v>
      </c>
      <c r="G3" s="83"/>
      <c r="H3" s="83"/>
      <c r="I3" s="83"/>
      <c r="J3" s="23"/>
      <c r="K3" s="8" t="s">
        <v>6</v>
      </c>
      <c r="N3" s="8" t="s">
        <v>7</v>
      </c>
      <c r="S3" s="8" t="s">
        <v>8</v>
      </c>
      <c r="Y3" s="8" t="s">
        <v>54</v>
      </c>
      <c r="Z3" s="8"/>
      <c r="AA3" s="8"/>
      <c r="AB3" s="8"/>
      <c r="AC3" s="8" t="s">
        <v>55</v>
      </c>
      <c r="AD3" s="8"/>
      <c r="AE3" s="8"/>
      <c r="AF3" s="8"/>
      <c r="AG3" s="8" t="s">
        <v>56</v>
      </c>
      <c r="AH3" s="8"/>
      <c r="AI3" s="8"/>
      <c r="AJ3" s="8"/>
      <c r="AK3" s="8" t="s">
        <v>57</v>
      </c>
      <c r="AL3" s="8"/>
    </row>
    <row r="4" spans="1:84" s="2" customFormat="1" ht="16" x14ac:dyDescent="0.2">
      <c r="A4" s="8" t="s">
        <v>19</v>
      </c>
      <c r="B4" s="8" t="s">
        <v>15</v>
      </c>
      <c r="C4" s="83" t="s">
        <v>48</v>
      </c>
      <c r="D4" s="83"/>
      <c r="E4" s="8" t="s">
        <v>18</v>
      </c>
      <c r="F4" s="83" t="s">
        <v>46</v>
      </c>
      <c r="G4" s="83"/>
      <c r="H4" s="83"/>
      <c r="I4" s="83"/>
      <c r="J4" s="23"/>
      <c r="K4" s="8" t="s">
        <v>50</v>
      </c>
      <c r="N4" s="8" t="s">
        <v>47</v>
      </c>
      <c r="S4" s="83" t="s">
        <v>49</v>
      </c>
      <c r="T4" s="83"/>
      <c r="U4" s="83"/>
      <c r="V4" s="83"/>
      <c r="Y4" s="8" t="s">
        <v>45</v>
      </c>
      <c r="AC4" s="8" t="s">
        <v>11</v>
      </c>
      <c r="AG4" s="8" t="s">
        <v>12</v>
      </c>
      <c r="AK4" s="8" t="s">
        <v>10</v>
      </c>
    </row>
    <row r="5" spans="1:84" s="2" customFormat="1" ht="16" x14ac:dyDescent="0.2">
      <c r="A5" s="8" t="s">
        <v>67</v>
      </c>
      <c r="B5" s="8" t="s">
        <v>9</v>
      </c>
      <c r="C5" s="83" t="s">
        <v>53</v>
      </c>
      <c r="D5" s="83"/>
      <c r="E5" s="8" t="s">
        <v>72</v>
      </c>
      <c r="F5" s="83" t="s">
        <v>73</v>
      </c>
      <c r="G5" s="83"/>
      <c r="H5" s="83"/>
      <c r="I5" s="83"/>
      <c r="J5" s="23"/>
      <c r="K5" s="8" t="s">
        <v>21</v>
      </c>
      <c r="N5" s="8" t="s">
        <v>14</v>
      </c>
      <c r="S5" s="8" t="s">
        <v>75</v>
      </c>
      <c r="Y5" s="8" t="s">
        <v>77</v>
      </c>
      <c r="AC5" s="8" t="s">
        <v>79</v>
      </c>
      <c r="AG5" s="8" t="s">
        <v>81</v>
      </c>
      <c r="AK5" s="8" t="s">
        <v>51</v>
      </c>
    </row>
    <row r="6" spans="1:84" s="2" customFormat="1" ht="16" x14ac:dyDescent="0.2">
      <c r="A6" s="8" t="s">
        <v>68</v>
      </c>
      <c r="B6" s="8" t="s">
        <v>70</v>
      </c>
      <c r="C6" s="83" t="s">
        <v>58</v>
      </c>
      <c r="D6" s="83"/>
      <c r="E6" s="8" t="s">
        <v>23</v>
      </c>
      <c r="F6" s="83" t="s">
        <v>13</v>
      </c>
      <c r="G6" s="83"/>
      <c r="H6" s="83"/>
      <c r="I6" s="83"/>
      <c r="J6" s="23"/>
      <c r="K6" s="8" t="s">
        <v>74</v>
      </c>
      <c r="N6" s="8" t="s">
        <v>61</v>
      </c>
      <c r="S6" s="8" t="s">
        <v>22</v>
      </c>
      <c r="Y6" s="8" t="s">
        <v>78</v>
      </c>
      <c r="AC6" s="8" t="s">
        <v>63</v>
      </c>
      <c r="AG6" s="8" t="s">
        <v>65</v>
      </c>
      <c r="AK6" s="8" t="s">
        <v>66</v>
      </c>
    </row>
    <row r="7" spans="1:84" s="2" customFormat="1" ht="16" x14ac:dyDescent="0.2">
      <c r="A7" s="8" t="s">
        <v>69</v>
      </c>
      <c r="B7" s="8" t="s">
        <v>52</v>
      </c>
      <c r="C7" s="83" t="s">
        <v>71</v>
      </c>
      <c r="D7" s="83"/>
      <c r="E7" s="8" t="s">
        <v>64</v>
      </c>
      <c r="F7" s="83" t="s">
        <v>60</v>
      </c>
      <c r="G7" s="83"/>
      <c r="H7" s="83"/>
      <c r="I7" s="83"/>
      <c r="J7" s="23"/>
      <c r="K7" s="8" t="s">
        <v>20</v>
      </c>
      <c r="N7" s="8" t="s">
        <v>62</v>
      </c>
      <c r="S7" s="8" t="s">
        <v>76</v>
      </c>
      <c r="Y7" s="8" t="s">
        <v>17</v>
      </c>
      <c r="AC7" s="8" t="s">
        <v>80</v>
      </c>
      <c r="AG7" s="83" t="s">
        <v>82</v>
      </c>
      <c r="AH7" s="83"/>
      <c r="AI7" s="83"/>
      <c r="AJ7" s="83"/>
      <c r="AK7" s="8" t="s">
        <v>16</v>
      </c>
    </row>
    <row r="8" spans="1:84" s="2" customFormat="1" ht="16" x14ac:dyDescent="0.2">
      <c r="A8" s="8"/>
      <c r="B8" s="3"/>
      <c r="C8" s="3"/>
      <c r="D8" s="3"/>
      <c r="E8" s="3"/>
      <c r="F8" s="3"/>
      <c r="G8" s="3"/>
      <c r="H8" s="3"/>
      <c r="L8" s="3"/>
      <c r="M8" s="3"/>
      <c r="N8" s="3"/>
      <c r="U8" s="3"/>
      <c r="AB8" s="3"/>
      <c r="AG8" s="83"/>
      <c r="AH8" s="83"/>
      <c r="AI8" s="83"/>
      <c r="AJ8" s="83"/>
      <c r="AP8" s="3"/>
      <c r="AW8" s="3"/>
      <c r="BD8" s="3"/>
      <c r="BK8" s="3"/>
      <c r="BR8" s="3"/>
      <c r="BY8" s="3"/>
      <c r="CF8" s="3"/>
    </row>
    <row r="9" spans="1:84" s="4" customFormat="1" ht="19" x14ac:dyDescent="0.25">
      <c r="A9" s="11" t="s">
        <v>24</v>
      </c>
    </row>
    <row r="10" spans="1:84" s="4" customFormat="1" ht="16" x14ac:dyDescent="0.2">
      <c r="A10" s="5" t="s">
        <v>25</v>
      </c>
    </row>
    <row r="11" spans="1:84" s="4" customFormat="1" ht="16" x14ac:dyDescent="0.2">
      <c r="A11" s="6" t="s">
        <v>83</v>
      </c>
      <c r="B11" s="6"/>
      <c r="C11" s="6"/>
      <c r="F11" s="1">
        <v>2</v>
      </c>
      <c r="G11" s="7" t="s">
        <v>26</v>
      </c>
      <c r="H11" s="1">
        <v>1</v>
      </c>
      <c r="I11" s="6"/>
      <c r="J11" s="6"/>
      <c r="K11" s="6"/>
    </row>
    <row r="12" spans="1:84" s="4" customFormat="1" ht="16" x14ac:dyDescent="0.2">
      <c r="A12" s="6" t="s">
        <v>84</v>
      </c>
      <c r="B12" s="6"/>
      <c r="C12" s="6"/>
      <c r="F12" s="1">
        <v>2</v>
      </c>
      <c r="G12" s="7" t="s">
        <v>26</v>
      </c>
      <c r="H12" s="1">
        <v>1</v>
      </c>
      <c r="I12" s="6"/>
      <c r="J12" s="6"/>
      <c r="K12" s="6"/>
    </row>
    <row r="13" spans="1:84" s="4" customFormat="1" ht="16" x14ac:dyDescent="0.2">
      <c r="A13" s="6" t="s">
        <v>94</v>
      </c>
      <c r="B13" s="6"/>
      <c r="C13" s="6"/>
      <c r="F13" s="1">
        <v>3</v>
      </c>
      <c r="G13" s="7" t="s">
        <v>26</v>
      </c>
      <c r="H13" s="1">
        <v>0</v>
      </c>
      <c r="I13" s="6"/>
      <c r="J13" s="6"/>
      <c r="K13" s="6"/>
    </row>
    <row r="14" spans="1:84" s="4" customFormat="1" ht="16" x14ac:dyDescent="0.2">
      <c r="A14" s="6" t="s">
        <v>95</v>
      </c>
      <c r="B14" s="6"/>
      <c r="C14" s="6"/>
      <c r="F14" s="1">
        <v>2</v>
      </c>
      <c r="G14" s="7" t="s">
        <v>26</v>
      </c>
      <c r="H14" s="1">
        <v>1</v>
      </c>
      <c r="I14" s="6"/>
      <c r="J14" s="6"/>
      <c r="K14" s="6"/>
    </row>
    <row r="15" spans="1:84" s="4" customFormat="1" ht="16" x14ac:dyDescent="0.2">
      <c r="A15" s="6" t="s">
        <v>85</v>
      </c>
      <c r="B15" s="6"/>
      <c r="C15" s="6"/>
      <c r="F15" s="1">
        <v>2</v>
      </c>
      <c r="G15" s="7" t="s">
        <v>26</v>
      </c>
      <c r="H15" s="1">
        <v>1</v>
      </c>
      <c r="I15" s="6"/>
      <c r="J15" s="6"/>
      <c r="K15" s="6"/>
    </row>
    <row r="16" spans="1:84" s="4" customFormat="1" ht="16" x14ac:dyDescent="0.2">
      <c r="A16" s="6" t="s">
        <v>86</v>
      </c>
      <c r="B16" s="6"/>
      <c r="C16" s="6"/>
      <c r="F16" s="1">
        <v>3</v>
      </c>
      <c r="G16" s="7" t="s">
        <v>26</v>
      </c>
      <c r="H16" s="1">
        <v>1</v>
      </c>
      <c r="I16" s="6"/>
      <c r="J16" s="6"/>
      <c r="K16" s="6"/>
    </row>
    <row r="17" spans="1:11" s="4" customFormat="1" ht="16" x14ac:dyDescent="0.2">
      <c r="A17" s="6" t="s">
        <v>87</v>
      </c>
      <c r="B17" s="6"/>
      <c r="C17" s="6"/>
      <c r="F17" s="1">
        <v>2</v>
      </c>
      <c r="G17" s="7" t="s">
        <v>26</v>
      </c>
      <c r="H17" s="1">
        <v>1</v>
      </c>
      <c r="I17" s="6"/>
      <c r="J17" s="6"/>
      <c r="K17" s="6"/>
    </row>
    <row r="18" spans="1:11" s="4" customFormat="1" ht="16" x14ac:dyDescent="0.2">
      <c r="A18" s="6" t="s">
        <v>96</v>
      </c>
      <c r="B18" s="6"/>
      <c r="C18" s="6"/>
      <c r="F18" s="1">
        <v>1</v>
      </c>
      <c r="G18" s="7" t="s">
        <v>26</v>
      </c>
      <c r="H18" s="1">
        <v>3</v>
      </c>
      <c r="I18" s="6"/>
      <c r="J18" s="6"/>
      <c r="K18" s="6"/>
    </row>
    <row r="19" spans="1:11" s="4" customFormat="1" ht="16" x14ac:dyDescent="0.2">
      <c r="A19" s="6" t="s">
        <v>88</v>
      </c>
      <c r="B19" s="6"/>
      <c r="C19" s="6"/>
      <c r="F19" s="1">
        <v>1</v>
      </c>
      <c r="G19" s="7" t="s">
        <v>26</v>
      </c>
      <c r="H19" s="1">
        <v>3</v>
      </c>
      <c r="I19" s="6"/>
      <c r="J19" s="6"/>
      <c r="K19" s="6"/>
    </row>
    <row r="20" spans="1:11" s="4" customFormat="1" ht="16" x14ac:dyDescent="0.2">
      <c r="A20" s="6" t="s">
        <v>89</v>
      </c>
      <c r="B20" s="6"/>
      <c r="C20" s="6"/>
      <c r="F20" s="1">
        <v>2</v>
      </c>
      <c r="G20" s="7" t="s">
        <v>26</v>
      </c>
      <c r="H20" s="1">
        <v>3</v>
      </c>
      <c r="I20" s="6"/>
      <c r="J20" s="6"/>
      <c r="K20" s="6"/>
    </row>
    <row r="21" spans="1:11" s="6" customFormat="1" ht="16" x14ac:dyDescent="0.2"/>
    <row r="22" spans="1:11" s="6" customFormat="1" ht="16" x14ac:dyDescent="0.2">
      <c r="A22" s="5" t="s">
        <v>27</v>
      </c>
    </row>
    <row r="23" spans="1:11" s="6" customFormat="1" ht="16" x14ac:dyDescent="0.2">
      <c r="A23" s="6" t="s">
        <v>97</v>
      </c>
      <c r="C23" s="91" t="s">
        <v>19</v>
      </c>
      <c r="D23" s="93"/>
    </row>
    <row r="24" spans="1:11" s="6" customFormat="1" ht="16" x14ac:dyDescent="0.2">
      <c r="A24" s="6" t="s">
        <v>28</v>
      </c>
      <c r="C24" s="91" t="s">
        <v>15</v>
      </c>
      <c r="D24" s="93"/>
    </row>
    <row r="25" spans="1:11" s="6" customFormat="1" ht="16" x14ac:dyDescent="0.2">
      <c r="A25" s="6" t="s">
        <v>114</v>
      </c>
      <c r="C25" s="1" t="s">
        <v>116</v>
      </c>
    </row>
    <row r="26" spans="1:11" s="6" customFormat="1" ht="16" x14ac:dyDescent="0.2">
      <c r="A26" s="6" t="s">
        <v>98</v>
      </c>
      <c r="C26" s="91" t="s">
        <v>18</v>
      </c>
      <c r="D26" s="93"/>
    </row>
    <row r="27" spans="1:11" s="6" customFormat="1" ht="16" x14ac:dyDescent="0.2">
      <c r="A27" s="6" t="s">
        <v>29</v>
      </c>
      <c r="C27" s="91" t="s">
        <v>50</v>
      </c>
      <c r="D27" s="93"/>
    </row>
    <row r="28" spans="1:11" s="6" customFormat="1" ht="16" x14ac:dyDescent="0.2">
      <c r="A28" s="6" t="s">
        <v>99</v>
      </c>
      <c r="C28" s="91" t="s">
        <v>47</v>
      </c>
      <c r="D28" s="93"/>
    </row>
    <row r="29" spans="1:11" s="6" customFormat="1" ht="16" x14ac:dyDescent="0.2">
      <c r="A29" s="6" t="s">
        <v>100</v>
      </c>
      <c r="C29" s="91" t="s">
        <v>77</v>
      </c>
      <c r="D29" s="93"/>
    </row>
    <row r="30" spans="1:11" s="6" customFormat="1" ht="16" x14ac:dyDescent="0.2">
      <c r="A30" s="6" t="s">
        <v>115</v>
      </c>
      <c r="C30" s="1" t="s">
        <v>116</v>
      </c>
    </row>
    <row r="31" spans="1:11" s="6" customFormat="1" ht="16" x14ac:dyDescent="0.2"/>
    <row r="32" spans="1:11" s="25" customFormat="1" ht="19" x14ac:dyDescent="0.25">
      <c r="A32" s="26" t="s">
        <v>93</v>
      </c>
    </row>
    <row r="33" spans="1:18" s="25" customFormat="1" ht="16" x14ac:dyDescent="0.2">
      <c r="A33" s="27" t="s">
        <v>39</v>
      </c>
    </row>
    <row r="34" spans="1:18" s="25" customFormat="1" ht="16" x14ac:dyDescent="0.2">
      <c r="A34" s="25" t="s">
        <v>110</v>
      </c>
      <c r="F34" s="1" t="s">
        <v>116</v>
      </c>
    </row>
    <row r="35" spans="1:18" s="25" customFormat="1" ht="16" x14ac:dyDescent="0.2">
      <c r="A35" s="25" t="s">
        <v>106</v>
      </c>
      <c r="F35" s="1" t="s">
        <v>119</v>
      </c>
    </row>
    <row r="36" spans="1:18" s="25" customFormat="1" ht="16" x14ac:dyDescent="0.2">
      <c r="A36" s="25" t="s">
        <v>113</v>
      </c>
      <c r="F36" s="1" t="s">
        <v>116</v>
      </c>
    </row>
    <row r="37" spans="1:18" s="25" customFormat="1" ht="16" x14ac:dyDescent="0.2">
      <c r="A37" s="25" t="s">
        <v>111</v>
      </c>
      <c r="I37" s="25" t="s">
        <v>93</v>
      </c>
      <c r="J37" s="1"/>
      <c r="K37" s="28" t="s">
        <v>112</v>
      </c>
      <c r="L37" s="1" t="s">
        <v>117</v>
      </c>
      <c r="M37" s="85" t="s">
        <v>104</v>
      </c>
      <c r="N37" s="86"/>
      <c r="O37" s="86"/>
      <c r="P37" s="86"/>
      <c r="Q37" s="86"/>
      <c r="R37" s="1"/>
    </row>
    <row r="38" spans="1:18" s="25" customFormat="1" ht="16" x14ac:dyDescent="0.2">
      <c r="A38" s="25" t="s">
        <v>101</v>
      </c>
      <c r="I38" s="25" t="s">
        <v>102</v>
      </c>
      <c r="J38" s="1" t="s">
        <v>117</v>
      </c>
      <c r="K38" s="28" t="s">
        <v>103</v>
      </c>
      <c r="L38" s="1"/>
      <c r="M38" s="85" t="s">
        <v>105</v>
      </c>
      <c r="N38" s="86"/>
      <c r="O38" s="86"/>
      <c r="P38" s="86"/>
      <c r="Q38" s="86"/>
      <c r="R38" s="1"/>
    </row>
    <row r="39" spans="1:18" s="25" customFormat="1" ht="16" x14ac:dyDescent="0.2"/>
    <row r="40" spans="1:18" s="12" customFormat="1" ht="19" x14ac:dyDescent="0.25">
      <c r="A40" s="13" t="s">
        <v>90</v>
      </c>
    </row>
    <row r="41" spans="1:18" s="12" customFormat="1" ht="16" x14ac:dyDescent="0.2">
      <c r="A41" s="14" t="s">
        <v>39</v>
      </c>
    </row>
    <row r="42" spans="1:18" s="12" customFormat="1" ht="16" x14ac:dyDescent="0.2">
      <c r="A42" s="15" t="s">
        <v>109</v>
      </c>
      <c r="F42" s="1" t="s">
        <v>116</v>
      </c>
    </row>
    <row r="43" spans="1:18" s="15" customFormat="1" ht="16" x14ac:dyDescent="0.2">
      <c r="A43" s="15" t="s">
        <v>91</v>
      </c>
      <c r="F43" s="1">
        <v>10</v>
      </c>
    </row>
    <row r="44" spans="1:18" s="15" customFormat="1" ht="16" x14ac:dyDescent="0.2">
      <c r="A44" s="15" t="s">
        <v>92</v>
      </c>
      <c r="F44" s="91" t="s">
        <v>19</v>
      </c>
      <c r="G44" s="92"/>
      <c r="H44" s="92"/>
      <c r="I44" s="92"/>
      <c r="J44" s="92"/>
      <c r="K44" s="92"/>
      <c r="L44" s="92"/>
      <c r="M44" s="92"/>
      <c r="N44" s="92"/>
      <c r="O44" s="93"/>
    </row>
    <row r="45" spans="1:18" s="12" customFormat="1" ht="16" x14ac:dyDescent="0.2">
      <c r="A45" s="15" t="s">
        <v>30</v>
      </c>
    </row>
    <row r="46" spans="1:18" s="12" customFormat="1" ht="16" x14ac:dyDescent="0.2">
      <c r="A46" s="15" t="s">
        <v>31</v>
      </c>
      <c r="D46" s="10" t="s">
        <v>49</v>
      </c>
    </row>
    <row r="47" spans="1:18" s="12" customFormat="1" ht="16" x14ac:dyDescent="0.2">
      <c r="A47" s="15" t="s">
        <v>32</v>
      </c>
      <c r="D47" s="10" t="s">
        <v>45</v>
      </c>
    </row>
    <row r="48" spans="1:18" s="12" customFormat="1" ht="16" x14ac:dyDescent="0.2">
      <c r="A48" s="15" t="s">
        <v>33</v>
      </c>
      <c r="D48" s="10" t="s">
        <v>50</v>
      </c>
    </row>
    <row r="49" spans="1:12" s="12" customFormat="1" ht="16" x14ac:dyDescent="0.2">
      <c r="A49" s="15" t="s">
        <v>34</v>
      </c>
      <c r="D49" s="10" t="s">
        <v>48</v>
      </c>
    </row>
    <row r="50" spans="1:12" s="12" customFormat="1" ht="16" x14ac:dyDescent="0.2">
      <c r="A50" s="15" t="s">
        <v>35</v>
      </c>
      <c r="D50" s="10" t="s">
        <v>11</v>
      </c>
    </row>
    <row r="51" spans="1:12" s="12" customFormat="1" ht="16" x14ac:dyDescent="0.2">
      <c r="A51" s="15" t="s">
        <v>36</v>
      </c>
      <c r="D51" s="10" t="s">
        <v>10</v>
      </c>
    </row>
    <row r="52" spans="1:12" s="12" customFormat="1" ht="16" x14ac:dyDescent="0.2">
      <c r="A52" s="15" t="s">
        <v>37</v>
      </c>
      <c r="D52" s="10" t="s">
        <v>12</v>
      </c>
    </row>
    <row r="53" spans="1:12" s="12" customFormat="1" ht="16" x14ac:dyDescent="0.2">
      <c r="A53" s="15" t="s">
        <v>38</v>
      </c>
      <c r="D53" s="10" t="s">
        <v>46</v>
      </c>
    </row>
    <row r="54" spans="1:12" s="12" customFormat="1" ht="16" x14ac:dyDescent="0.2">
      <c r="A54" s="15"/>
    </row>
    <row r="55" spans="1:12" s="18" customFormat="1" ht="19" x14ac:dyDescent="0.25">
      <c r="A55" s="19" t="s">
        <v>40</v>
      </c>
    </row>
    <row r="56" spans="1:12" s="18" customFormat="1" ht="16" x14ac:dyDescent="0.2">
      <c r="A56" s="20" t="s">
        <v>107</v>
      </c>
      <c r="F56" s="97" t="s">
        <v>49</v>
      </c>
      <c r="G56" s="97"/>
      <c r="H56" s="97"/>
      <c r="I56" s="97"/>
      <c r="J56" s="94" t="s">
        <v>45</v>
      </c>
      <c r="K56" s="95"/>
      <c r="L56" s="96"/>
    </row>
    <row r="57" spans="1:12" s="18" customFormat="1" ht="16" x14ac:dyDescent="0.2">
      <c r="A57" s="21" t="s">
        <v>108</v>
      </c>
    </row>
    <row r="58" spans="1:12" s="18" customFormat="1" ht="16" x14ac:dyDescent="0.2">
      <c r="A58" s="20" t="s">
        <v>41</v>
      </c>
      <c r="F58" s="1">
        <v>2</v>
      </c>
      <c r="G58" s="22" t="s">
        <v>26</v>
      </c>
      <c r="H58" s="1">
        <v>1</v>
      </c>
    </row>
    <row r="59" spans="1:12" s="18" customFormat="1" ht="16" x14ac:dyDescent="0.2">
      <c r="A59" s="20" t="s">
        <v>42</v>
      </c>
      <c r="F59" s="87" t="s">
        <v>49</v>
      </c>
      <c r="G59" s="88"/>
      <c r="H59" s="88"/>
      <c r="I59" s="89"/>
    </row>
    <row r="60" spans="1:12" s="18" customFormat="1" ht="16" x14ac:dyDescent="0.2">
      <c r="A60" s="20" t="s">
        <v>43</v>
      </c>
      <c r="F60" s="87" t="s">
        <v>49</v>
      </c>
      <c r="G60" s="88"/>
      <c r="H60" s="88"/>
      <c r="I60" s="89"/>
    </row>
    <row r="61" spans="1:12" s="18" customFormat="1" x14ac:dyDescent="0.2"/>
    <row r="62" spans="1:12" s="18" customFormat="1" x14ac:dyDescent="0.2"/>
    <row r="63" spans="1:12" s="18" customFormat="1" x14ac:dyDescent="0.2"/>
    <row r="64" spans="1:12" s="18" customFormat="1" x14ac:dyDescent="0.2"/>
  </sheetData>
  <mergeCells count="28">
    <mergeCell ref="A1:R1"/>
    <mergeCell ref="F2:I2"/>
    <mergeCell ref="C3:D3"/>
    <mergeCell ref="F3:I3"/>
    <mergeCell ref="C4:D4"/>
    <mergeCell ref="F4:I4"/>
    <mergeCell ref="C27:D27"/>
    <mergeCell ref="S4:V4"/>
    <mergeCell ref="C5:D5"/>
    <mergeCell ref="F5:I5"/>
    <mergeCell ref="C6:D6"/>
    <mergeCell ref="F6:I6"/>
    <mergeCell ref="C7:D7"/>
    <mergeCell ref="F7:I7"/>
    <mergeCell ref="AG7:AJ7"/>
    <mergeCell ref="AG8:AJ8"/>
    <mergeCell ref="C23:D23"/>
    <mergeCell ref="C24:D24"/>
    <mergeCell ref="C26:D26"/>
    <mergeCell ref="F59:I59"/>
    <mergeCell ref="F60:I60"/>
    <mergeCell ref="C28:D28"/>
    <mergeCell ref="C29:D29"/>
    <mergeCell ref="M37:Q37"/>
    <mergeCell ref="M38:Q38"/>
    <mergeCell ref="F44:O44"/>
    <mergeCell ref="F56:I56"/>
    <mergeCell ref="J56:L56"/>
  </mergeCells>
  <pageMargins left="0.7" right="0.7" top="0.75" bottom="0.75" header="0.3" footer="0.3"/>
  <pageSetup paperSize="8" scale="5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88A2-58CB-B943-8883-54DAF55F131B}">
  <dimension ref="A1:AR15"/>
  <sheetViews>
    <sheetView workbookViewId="0"/>
  </sheetViews>
  <sheetFormatPr baseColWidth="10" defaultRowHeight="15" x14ac:dyDescent="0.2"/>
  <cols>
    <col min="1" max="1" width="9.83203125" bestFit="1" customWidth="1"/>
    <col min="2" max="2" width="17.83203125" bestFit="1" customWidth="1"/>
    <col min="3" max="3" width="17.6640625" bestFit="1" customWidth="1"/>
    <col min="4" max="4" width="15.1640625" bestFit="1" customWidth="1"/>
    <col min="5" max="5" width="15" bestFit="1" customWidth="1"/>
    <col min="6" max="6" width="18.33203125" bestFit="1" customWidth="1"/>
    <col min="7" max="7" width="18.1640625" bestFit="1" customWidth="1"/>
    <col min="8" max="8" width="17.6640625" bestFit="1" customWidth="1"/>
    <col min="9" max="9" width="17.5" bestFit="1" customWidth="1"/>
    <col min="10" max="10" width="15.6640625" bestFit="1" customWidth="1"/>
    <col min="11" max="11" width="15.5" bestFit="1" customWidth="1"/>
    <col min="12" max="12" width="18.1640625" bestFit="1" customWidth="1"/>
    <col min="13" max="13" width="18" bestFit="1" customWidth="1"/>
    <col min="14" max="14" width="14.83203125" bestFit="1" customWidth="1"/>
    <col min="15" max="15" width="14.6640625" bestFit="1" customWidth="1"/>
    <col min="16" max="16" width="17" bestFit="1" customWidth="1"/>
    <col min="17" max="17" width="16.83203125" bestFit="1" customWidth="1"/>
    <col min="18" max="18" width="16" bestFit="1" customWidth="1"/>
    <col min="19" max="19" width="15.83203125" bestFit="1" customWidth="1"/>
    <col min="20" max="20" width="18.1640625" bestFit="1" customWidth="1"/>
    <col min="21" max="21" width="18" bestFit="1" customWidth="1"/>
    <col min="22" max="30" width="5.1640625" bestFit="1" customWidth="1"/>
    <col min="31" max="31" width="6.1640625" bestFit="1" customWidth="1"/>
    <col min="32" max="32" width="8.5" bestFit="1" customWidth="1"/>
    <col min="33" max="33" width="12.33203125" bestFit="1" customWidth="1"/>
    <col min="35" max="35" width="8" bestFit="1" customWidth="1"/>
    <col min="36" max="36" width="9" bestFit="1" customWidth="1"/>
    <col min="37" max="37" width="7.83203125" bestFit="1" customWidth="1"/>
    <col min="38" max="38" width="6.83203125" bestFit="1" customWidth="1"/>
    <col min="40" max="40" width="11.33203125" bestFit="1" customWidth="1"/>
    <col min="41" max="41" width="14.5" bestFit="1" customWidth="1"/>
    <col min="42" max="42" width="15.5" bestFit="1" customWidth="1"/>
    <col min="43" max="43" width="11.1640625" bestFit="1" customWidth="1"/>
    <col min="44" max="44" width="9.83203125" bestFit="1" customWidth="1"/>
  </cols>
  <sheetData>
    <row r="1" spans="1:44" x14ac:dyDescent="0.2">
      <c r="A1" s="115" t="s">
        <v>160</v>
      </c>
      <c r="B1" s="115" t="s">
        <v>161</v>
      </c>
      <c r="C1" s="115" t="s">
        <v>162</v>
      </c>
      <c r="D1" s="115" t="s">
        <v>163</v>
      </c>
      <c r="E1" s="115" t="s">
        <v>164</v>
      </c>
      <c r="F1" s="115" t="s">
        <v>165</v>
      </c>
      <c r="G1" s="115" t="s">
        <v>166</v>
      </c>
      <c r="H1" s="115" t="s">
        <v>167</v>
      </c>
      <c r="I1" s="115" t="s">
        <v>168</v>
      </c>
      <c r="J1" s="115" t="s">
        <v>169</v>
      </c>
      <c r="K1" s="115" t="s">
        <v>170</v>
      </c>
      <c r="L1" s="115" t="s">
        <v>171</v>
      </c>
      <c r="M1" s="115" t="s">
        <v>172</v>
      </c>
      <c r="N1" s="115" t="s">
        <v>173</v>
      </c>
      <c r="O1" s="115" t="s">
        <v>174</v>
      </c>
      <c r="P1" s="115" t="s">
        <v>175</v>
      </c>
      <c r="Q1" s="115" t="s">
        <v>176</v>
      </c>
      <c r="R1" s="115" t="s">
        <v>177</v>
      </c>
      <c r="S1" s="115" t="s">
        <v>178</v>
      </c>
      <c r="T1" s="115" t="s">
        <v>179</v>
      </c>
      <c r="U1" s="115" t="s">
        <v>180</v>
      </c>
      <c r="V1" s="115" t="s">
        <v>181</v>
      </c>
      <c r="W1" s="115" t="s">
        <v>182</v>
      </c>
      <c r="X1" s="115" t="s">
        <v>183</v>
      </c>
      <c r="Y1" s="115" t="s">
        <v>184</v>
      </c>
      <c r="Z1" s="115" t="s">
        <v>185</v>
      </c>
      <c r="AA1" s="115" t="s">
        <v>186</v>
      </c>
      <c r="AB1" s="115" t="s">
        <v>187</v>
      </c>
      <c r="AC1" s="115" t="s">
        <v>188</v>
      </c>
      <c r="AD1" s="115" t="s">
        <v>189</v>
      </c>
      <c r="AE1" s="115" t="s">
        <v>190</v>
      </c>
      <c r="AF1" s="115" t="s">
        <v>191</v>
      </c>
      <c r="AG1" s="115" t="s">
        <v>192</v>
      </c>
      <c r="AH1" s="115" t="s">
        <v>193</v>
      </c>
      <c r="AI1" s="115" t="s">
        <v>194</v>
      </c>
      <c r="AJ1" s="115" t="s">
        <v>195</v>
      </c>
      <c r="AK1" s="115" t="s">
        <v>196</v>
      </c>
      <c r="AL1" s="115" t="s">
        <v>197</v>
      </c>
      <c r="AM1" s="115" t="s">
        <v>198</v>
      </c>
      <c r="AN1" s="115" t="s">
        <v>199</v>
      </c>
      <c r="AO1" s="115" t="s">
        <v>200</v>
      </c>
      <c r="AP1" s="115" t="s">
        <v>201</v>
      </c>
      <c r="AQ1" s="115" t="s">
        <v>202</v>
      </c>
      <c r="AR1" s="115" t="s">
        <v>203</v>
      </c>
    </row>
    <row r="2" spans="1:44" x14ac:dyDescent="0.2">
      <c r="A2" s="114" t="s">
        <v>204</v>
      </c>
      <c r="B2">
        <f>Ahilan!F11</f>
        <v>2</v>
      </c>
      <c r="C2">
        <f>Ahilan!H11</f>
        <v>0</v>
      </c>
      <c r="D2">
        <f>Ahilan!F12</f>
        <v>1</v>
      </c>
      <c r="E2">
        <f>Ahilan!H12</f>
        <v>0</v>
      </c>
      <c r="F2">
        <f>Ahilan!F13</f>
        <v>3</v>
      </c>
      <c r="G2">
        <f>Ahilan!H13</f>
        <v>0</v>
      </c>
      <c r="H2">
        <f>Ahilan!F14</f>
        <v>2</v>
      </c>
      <c r="I2">
        <f>Ahilan!H14</f>
        <v>1</v>
      </c>
      <c r="J2">
        <f>Ahilan!F15</f>
        <v>0</v>
      </c>
      <c r="K2">
        <f>Ahilan!H15</f>
        <v>0</v>
      </c>
      <c r="L2">
        <f>Ahilan!F16</f>
        <v>2</v>
      </c>
      <c r="M2">
        <f>Ahilan!H16</f>
        <v>1</v>
      </c>
      <c r="N2">
        <f>Ahilan!F17</f>
        <v>0</v>
      </c>
      <c r="O2">
        <f>Ahilan!H17</f>
        <v>0</v>
      </c>
      <c r="P2">
        <f>Ahilan!F18</f>
        <v>0</v>
      </c>
      <c r="Q2">
        <f>Ahilan!H18</f>
        <v>1</v>
      </c>
      <c r="R2">
        <f>Ahilan!F19</f>
        <v>0</v>
      </c>
      <c r="S2">
        <f>Ahilan!H19</f>
        <v>1</v>
      </c>
      <c r="T2">
        <f>Ahilan!F20</f>
        <v>2</v>
      </c>
      <c r="U2">
        <f>Ahilan!H20</f>
        <v>3</v>
      </c>
      <c r="V2" t="str">
        <f>IF(B2&gt;C2,"H",IF(B2&lt;C2,"B","U"))</f>
        <v>H</v>
      </c>
      <c r="W2" t="str">
        <f>IF(D2&gt;E2,"H",IF(D2&lt;E2,"B","U"))</f>
        <v>H</v>
      </c>
      <c r="X2" t="str">
        <f>IF(F2&gt;G2,"H",IF(F2&lt;G2,"B","U"))</f>
        <v>H</v>
      </c>
      <c r="Y2" t="str">
        <f>IF(H2&gt;I2,"H",IF(H2&lt;I2,"B","U"))</f>
        <v>H</v>
      </c>
      <c r="Z2" t="str">
        <f>IF(J2&gt;K2,"H",IF(J2&lt;K2,"B","U"))</f>
        <v>U</v>
      </c>
      <c r="AA2" t="str">
        <f>IF(L2&gt;M2,"H",IF(L2&lt;M2,"B","U"))</f>
        <v>H</v>
      </c>
      <c r="AB2" t="str">
        <f>IF(N2&gt;O2,"H",IF(N2&lt;O2,"B","U"))</f>
        <v>U</v>
      </c>
      <c r="AC2" t="str">
        <f>IF(P2&gt;Q2,"H",IF(P2&lt;Q2,"B","U"))</f>
        <v>B</v>
      </c>
      <c r="AD2" t="str">
        <f>IF(R2&gt;S2,"H",IF(R2&lt;S2,"B","U"))</f>
        <v>B</v>
      </c>
      <c r="AE2" t="str">
        <f>IF(T2&gt;U2,"H",IF(T2&lt;U2,"B","U"))</f>
        <v>B</v>
      </c>
      <c r="AF2" t="str">
        <f>Ahilan!C23</f>
        <v>Tsjekkia</v>
      </c>
      <c r="AG2" t="str">
        <f>Ahilan!C24</f>
        <v>Sveits</v>
      </c>
      <c r="AH2" t="str">
        <f>IF(LOWER(LEFT(TRIM(Ahilan!C25),1))="j","Ja","Nei")</f>
        <v>Nei</v>
      </c>
      <c r="AI2" t="str">
        <f>Ahilan!C26</f>
        <v>Tyrkia</v>
      </c>
      <c r="AJ2" t="str">
        <f>Ahilan!C27</f>
        <v>Nederland</v>
      </c>
      <c r="AK2" t="str">
        <f>Ahilan!C28</f>
        <v>Belgia</v>
      </c>
      <c r="AL2" t="str">
        <f>Ahilan!C29</f>
        <v>Senegal</v>
      </c>
      <c r="AM2" t="str">
        <f>IF(LOWER(LEFT(TRIM(Ahilan!C30),1))="j","Ja","Nei")</f>
        <v>Nei</v>
      </c>
      <c r="AN2" t="str">
        <f>IF(LOWER(LEFT(TRIM(Ahilan!F34),1))="j","Ja","Nei")</f>
        <v>Nei</v>
      </c>
      <c r="AO2" t="str">
        <f>IF(LOWER(LEFT(TRIM(Ahilan!F35),1))="j","Ja","Nei")</f>
        <v>Nei</v>
      </c>
      <c r="AP2" t="str">
        <f>IF(LOWER(LEFT(TRIM(Ahilan!F36),1))="j","Ja","Nei")</f>
        <v>Nei</v>
      </c>
      <c r="AQ2" t="str">
        <f>IF(TRIM(Ahilan!J37)&lt;&gt;"","Norge",IF(TRIM(Ahilan!L37)&lt;&gt;"","England",IF(TRIM(Ahilan!N37)&lt;&gt;"","Like langt","-")))</f>
        <v>England</v>
      </c>
      <c r="AR2" t="str">
        <f>IF(TRIM(Ahilan!J38)&lt;&gt;"","Haaland",IF(TRIM(Ahilan!L38)&lt;&gt;"","Sørloth",IF(TRIM(Ahilan!N38)&lt;&gt;"","En annen","-")))</f>
        <v>Haaland</v>
      </c>
    </row>
    <row r="3" spans="1:44" x14ac:dyDescent="0.2">
      <c r="A3" s="114" t="s">
        <v>205</v>
      </c>
      <c r="B3">
        <f>Haakon!F11</f>
        <v>3</v>
      </c>
      <c r="C3">
        <f>Haakon!H11</f>
        <v>0</v>
      </c>
      <c r="D3">
        <f>Haakon!F12</f>
        <v>3</v>
      </c>
      <c r="E3">
        <f>Haakon!H12</f>
        <v>2</v>
      </c>
      <c r="F3">
        <f>Haakon!F13</f>
        <v>4</v>
      </c>
      <c r="G3">
        <f>Haakon!H13</f>
        <v>0</v>
      </c>
      <c r="H3">
        <f>Haakon!F14</f>
        <v>3</v>
      </c>
      <c r="I3">
        <f>Haakon!H14</f>
        <v>1</v>
      </c>
      <c r="J3">
        <f>Haakon!F15</f>
        <v>3</v>
      </c>
      <c r="K3">
        <f>Haakon!H15</f>
        <v>0</v>
      </c>
      <c r="L3">
        <f>Haakon!F16</f>
        <v>2</v>
      </c>
      <c r="M3">
        <f>Haakon!H16</f>
        <v>0</v>
      </c>
      <c r="N3">
        <f>Haakon!F17</f>
        <v>2</v>
      </c>
      <c r="O3">
        <f>Haakon!H17</f>
        <v>1</v>
      </c>
      <c r="P3">
        <f>Haakon!F18</f>
        <v>1</v>
      </c>
      <c r="Q3">
        <f>Haakon!H18</f>
        <v>2</v>
      </c>
      <c r="R3">
        <f>Haakon!F19</f>
        <v>2</v>
      </c>
      <c r="S3">
        <f>Haakon!H19</f>
        <v>2</v>
      </c>
      <c r="T3">
        <f>Haakon!F20</f>
        <v>1</v>
      </c>
      <c r="U3">
        <f>Haakon!H20</f>
        <v>2</v>
      </c>
      <c r="V3" t="str">
        <f>IF(B3&gt;C3,"H",IF(B3&lt;C3,"B","U"))</f>
        <v>H</v>
      </c>
      <c r="W3" t="str">
        <f>IF(D3&gt;E3,"H",IF(D3&lt;E3,"B","U"))</f>
        <v>H</v>
      </c>
      <c r="X3" t="str">
        <f>IF(F3&gt;G3,"H",IF(F3&lt;G3,"B","U"))</f>
        <v>H</v>
      </c>
      <c r="Y3" t="str">
        <f>IF(H3&gt;I3,"H",IF(H3&lt;I3,"B","U"))</f>
        <v>H</v>
      </c>
      <c r="Z3" t="str">
        <f>IF(J3&gt;K3,"H",IF(J3&lt;K3,"B","U"))</f>
        <v>H</v>
      </c>
      <c r="AA3" t="str">
        <f>IF(L3&gt;M3,"H",IF(L3&lt;M3,"B","U"))</f>
        <v>H</v>
      </c>
      <c r="AB3" t="str">
        <f>IF(N3&gt;O3,"H",IF(N3&lt;O3,"B","U"))</f>
        <v>H</v>
      </c>
      <c r="AC3" t="str">
        <f>IF(P3&gt;Q3,"H",IF(P3&lt;Q3,"B","U"))</f>
        <v>B</v>
      </c>
      <c r="AD3" t="str">
        <f>IF(R3&gt;S3,"H",IF(R3&lt;S3,"B","U"))</f>
        <v>U</v>
      </c>
      <c r="AE3" t="str">
        <f>IF(T3&gt;U3,"H",IF(T3&lt;U3,"B","U"))</f>
        <v>B</v>
      </c>
      <c r="AF3" t="str">
        <f>Haakon!C23</f>
        <v>Mexico</v>
      </c>
      <c r="AG3" t="str">
        <f>Haakon!C24</f>
        <v>Sveits</v>
      </c>
      <c r="AH3" t="str">
        <f>IF(LOWER(LEFT(TRIM(Haakon!C25),1))="j","Ja","Nei")</f>
        <v>Ja</v>
      </c>
      <c r="AI3" t="str">
        <f>Haakon!C26</f>
        <v>USA</v>
      </c>
      <c r="AJ3" t="str">
        <f>Haakon!C27</f>
        <v>Nederland</v>
      </c>
      <c r="AK3" t="str">
        <f>Haakon!C28</f>
        <v>Belgia</v>
      </c>
      <c r="AL3" t="str">
        <f>Haakon!C29</f>
        <v>Norge</v>
      </c>
      <c r="AM3" t="str">
        <f>IF(LOWER(LEFT(TRIM(Haakon!C30),1))="j","Ja","Nei")</f>
        <v>Nei</v>
      </c>
      <c r="AN3" t="str">
        <f>IF(LOWER(LEFT(TRIM(Haakon!F34),1))="j","Ja","Nei")</f>
        <v>Ja</v>
      </c>
      <c r="AO3" t="str">
        <f>IF(LOWER(LEFT(TRIM(Haakon!F35),1))="j","Ja","Nei")</f>
        <v>Ja</v>
      </c>
      <c r="AP3" t="str">
        <f>IF(LOWER(LEFT(TRIM(Haakon!F36),1))="j","Ja","Nei")</f>
        <v>Ja</v>
      </c>
      <c r="AQ3" t="str">
        <f>IF(TRIM(Haakon!J37)&lt;&gt;"","Norge",IF(TRIM(Haakon!L37)&lt;&gt;"","England",IF(TRIM(Haakon!N37)&lt;&gt;"","Like langt","-")))</f>
        <v>England</v>
      </c>
      <c r="AR3" t="str">
        <f>IF(TRIM(Haakon!J38)&lt;&gt;"","Haaland",IF(TRIM(Haakon!L38)&lt;&gt;"","Sørloth",IF(TRIM(Haakon!N38)&lt;&gt;"","En annen","-")))</f>
        <v>Haaland</v>
      </c>
    </row>
    <row r="4" spans="1:44" x14ac:dyDescent="0.2">
      <c r="A4" s="114" t="s">
        <v>206</v>
      </c>
      <c r="B4">
        <f>AI!F11</f>
        <v>2</v>
      </c>
      <c r="C4">
        <f>AI!H11</f>
        <v>1</v>
      </c>
      <c r="D4">
        <f>AI!F12</f>
        <v>3</v>
      </c>
      <c r="E4">
        <f>AI!H12</f>
        <v>1</v>
      </c>
      <c r="F4">
        <f>AI!F13</f>
        <v>6</v>
      </c>
      <c r="G4">
        <f>AI!H13</f>
        <v>0</v>
      </c>
      <c r="H4">
        <f>AI!F14</f>
        <v>3</v>
      </c>
      <c r="I4">
        <f>AI!H14</f>
        <v>0</v>
      </c>
      <c r="J4">
        <f>AI!F15</f>
        <v>2</v>
      </c>
      <c r="K4">
        <f>AI!H15</f>
        <v>2</v>
      </c>
      <c r="L4">
        <f>AI!F16</f>
        <v>2</v>
      </c>
      <c r="M4">
        <f>AI!H16</f>
        <v>1</v>
      </c>
      <c r="N4">
        <f>AI!F17</f>
        <v>1</v>
      </c>
      <c r="O4">
        <f>AI!H17</f>
        <v>0</v>
      </c>
      <c r="P4">
        <f>AI!F18</f>
        <v>1</v>
      </c>
      <c r="Q4">
        <f>AI!H18</f>
        <v>2</v>
      </c>
      <c r="R4">
        <f>AI!F19</f>
        <v>2</v>
      </c>
      <c r="S4">
        <f>AI!H19</f>
        <v>2</v>
      </c>
      <c r="T4">
        <f>AI!F20</f>
        <v>1</v>
      </c>
      <c r="U4">
        <f>AI!H20</f>
        <v>2</v>
      </c>
      <c r="V4" t="str">
        <f>IF(B4&gt;C4,"H",IF(B4&lt;C4,"B","U"))</f>
        <v>H</v>
      </c>
      <c r="W4" t="str">
        <f>IF(D4&gt;E4,"H",IF(D4&lt;E4,"B","U"))</f>
        <v>H</v>
      </c>
      <c r="X4" t="str">
        <f>IF(F4&gt;G4,"H",IF(F4&lt;G4,"B","U"))</f>
        <v>H</v>
      </c>
      <c r="Y4" t="str">
        <f>IF(H4&gt;I4,"H",IF(H4&lt;I4,"B","U"))</f>
        <v>H</v>
      </c>
      <c r="Z4" t="str">
        <f>IF(J4&gt;K4,"H",IF(J4&lt;K4,"B","U"))</f>
        <v>U</v>
      </c>
      <c r="AA4" t="str">
        <f>IF(L4&gt;M4,"H",IF(L4&lt;M4,"B","U"))</f>
        <v>H</v>
      </c>
      <c r="AB4" t="str">
        <f>IF(N4&gt;O4,"H",IF(N4&lt;O4,"B","U"))</f>
        <v>H</v>
      </c>
      <c r="AC4" t="str">
        <f>IF(P4&gt;Q4,"H",IF(P4&lt;Q4,"B","U"))</f>
        <v>B</v>
      </c>
      <c r="AD4" t="str">
        <f>IF(R4&gt;S4,"H",IF(R4&lt;S4,"B","U"))</f>
        <v>U</v>
      </c>
      <c r="AE4" t="str">
        <f>IF(T4&gt;U4,"H",IF(T4&lt;U4,"B","U"))</f>
        <v>B</v>
      </c>
      <c r="AF4" t="str">
        <f>AI!C23</f>
        <v>Mexico</v>
      </c>
      <c r="AG4" t="str">
        <f>AI!C24</f>
        <v>Sveits</v>
      </c>
      <c r="AH4" t="str">
        <f>IF(LOWER(LEFT(TRIM(AI!C25),1))="j","Ja","Nei")</f>
        <v>Ja</v>
      </c>
      <c r="AI4" t="str">
        <f>AI!C26</f>
        <v>USA</v>
      </c>
      <c r="AJ4" t="str">
        <f>AI!C27</f>
        <v>Nederland</v>
      </c>
      <c r="AK4" t="str">
        <f>AI!C28</f>
        <v>Belgia</v>
      </c>
      <c r="AL4" t="str">
        <f>AI!C29</f>
        <v>Norge</v>
      </c>
      <c r="AM4" t="str">
        <f>IF(LOWER(LEFT(TRIM(AI!C30),1))="j","Ja","Nei")</f>
        <v>Nei</v>
      </c>
      <c r="AN4" t="str">
        <f>IF(LOWER(LEFT(TRIM(AI!F34),1))="j","Ja","Nei")</f>
        <v>Ja</v>
      </c>
      <c r="AO4" t="str">
        <f>IF(LOWER(LEFT(TRIM(AI!F35),1))="j","Ja","Nei")</f>
        <v>Ja</v>
      </c>
      <c r="AP4" t="str">
        <f>IF(LOWER(LEFT(TRIM(AI!F36),1))="j","Ja","Nei")</f>
        <v>Nei</v>
      </c>
      <c r="AQ4" t="str">
        <f>IF(TRIM(AI!J37)&lt;&gt;"","Norge",IF(TRIM(AI!L37)&lt;&gt;"","England",IF(TRIM(AI!N37)&lt;&gt;"","Like langt","-")))</f>
        <v>England</v>
      </c>
      <c r="AR4" t="str">
        <f>IF(TRIM(AI!J38)&lt;&gt;"","Haaland",IF(TRIM(AI!L38)&lt;&gt;"","Sørloth",IF(TRIM(AI!N38)&lt;&gt;"","En annen","-")))</f>
        <v>Haaland</v>
      </c>
    </row>
    <row r="5" spans="1:44" x14ac:dyDescent="0.2">
      <c r="A5" s="114" t="s">
        <v>207</v>
      </c>
      <c r="B5">
        <f>Jardar!F11</f>
        <v>2</v>
      </c>
      <c r="C5">
        <f>Jardar!H11</f>
        <v>0</v>
      </c>
      <c r="D5">
        <f>Jardar!F12</f>
        <v>0</v>
      </c>
      <c r="E5">
        <f>Jardar!H12</f>
        <v>0</v>
      </c>
      <c r="F5">
        <f>Jardar!F13</f>
        <v>3</v>
      </c>
      <c r="G5">
        <f>Jardar!H13</f>
        <v>0</v>
      </c>
      <c r="H5">
        <f>Jardar!F14</f>
        <v>1</v>
      </c>
      <c r="I5">
        <f>Jardar!H14</f>
        <v>0</v>
      </c>
      <c r="J5">
        <f>Jardar!F15</f>
        <v>1</v>
      </c>
      <c r="K5">
        <f>Jardar!H15</f>
        <v>1</v>
      </c>
      <c r="L5">
        <f>Jardar!F16</f>
        <v>2</v>
      </c>
      <c r="M5">
        <f>Jardar!H16</f>
        <v>0</v>
      </c>
      <c r="N5">
        <f>Jardar!F17</f>
        <v>1</v>
      </c>
      <c r="O5">
        <f>Jardar!H17</f>
        <v>0</v>
      </c>
      <c r="P5">
        <f>Jardar!F18</f>
        <v>0</v>
      </c>
      <c r="Q5">
        <f>Jardar!H18</f>
        <v>2</v>
      </c>
      <c r="R5">
        <f>Jardar!F19</f>
        <v>2</v>
      </c>
      <c r="S5">
        <f>Jardar!H19</f>
        <v>1</v>
      </c>
      <c r="T5">
        <f>Jardar!F20</f>
        <v>0</v>
      </c>
      <c r="U5">
        <f>Jardar!H20</f>
        <v>1</v>
      </c>
      <c r="V5" t="str">
        <f>IF(B5&gt;C5,"H",IF(B5&lt;C5,"B","U"))</f>
        <v>H</v>
      </c>
      <c r="W5" t="str">
        <f>IF(D5&gt;E5,"H",IF(D5&lt;E5,"B","U"))</f>
        <v>U</v>
      </c>
      <c r="X5" t="str">
        <f>IF(F5&gt;G5,"H",IF(F5&lt;G5,"B","U"))</f>
        <v>H</v>
      </c>
      <c r="Y5" t="str">
        <f>IF(H5&gt;I5,"H",IF(H5&lt;I5,"B","U"))</f>
        <v>H</v>
      </c>
      <c r="Z5" t="str">
        <f>IF(J5&gt;K5,"H",IF(J5&lt;K5,"B","U"))</f>
        <v>U</v>
      </c>
      <c r="AA5" t="str">
        <f>IF(L5&gt;M5,"H",IF(L5&lt;M5,"B","U"))</f>
        <v>H</v>
      </c>
      <c r="AB5" t="str">
        <f>IF(N5&gt;O5,"H",IF(N5&lt;O5,"B","U"))</f>
        <v>H</v>
      </c>
      <c r="AC5" t="str">
        <f>IF(P5&gt;Q5,"H",IF(P5&lt;Q5,"B","U"))</f>
        <v>B</v>
      </c>
      <c r="AD5" t="str">
        <f>IF(R5&gt;S5,"H",IF(R5&lt;S5,"B","U"))</f>
        <v>H</v>
      </c>
      <c r="AE5" t="str">
        <f>IF(T5&gt;U5,"H",IF(T5&lt;U5,"B","U"))</f>
        <v>B</v>
      </c>
      <c r="AF5" t="str">
        <f>Jardar!C23</f>
        <v>Mexico</v>
      </c>
      <c r="AG5" t="str">
        <f>Jardar!C24</f>
        <v>Bosnia</v>
      </c>
      <c r="AH5" t="str">
        <f>IF(LOWER(LEFT(TRIM(Jardar!C25),1))="j","Ja","Nei")</f>
        <v>Ja</v>
      </c>
      <c r="AI5" t="str">
        <f>Jardar!C26</f>
        <v>Paraguay</v>
      </c>
      <c r="AJ5" t="str">
        <f>Jardar!C27</f>
        <v>Nederland</v>
      </c>
      <c r="AK5" t="str">
        <f>Jardar!C28</f>
        <v>Belgia</v>
      </c>
      <c r="AL5" t="str">
        <f>Jardar!C29</f>
        <v>Senegal</v>
      </c>
      <c r="AM5" t="str">
        <f>IF(LOWER(LEFT(TRIM(Jardar!C30),1))="j","Ja","Nei")</f>
        <v>Ja</v>
      </c>
      <c r="AN5" t="str">
        <f>IF(LOWER(LEFT(TRIM(Jardar!F34),1))="j","Ja","Nei")</f>
        <v>Nei</v>
      </c>
      <c r="AO5" t="str">
        <f>IF(LOWER(LEFT(TRIM(Jardar!F35),1))="j","Ja","Nei")</f>
        <v>Nei</v>
      </c>
      <c r="AP5" t="str">
        <f>IF(LOWER(LEFT(TRIM(Jardar!F36),1))="j","Ja","Nei")</f>
        <v>Nei</v>
      </c>
      <c r="AQ5" t="str">
        <f>IF(TRIM(Jardar!J37)&lt;&gt;"","Norge",IF(TRIM(Jardar!L37)&lt;&gt;"","England",IF(TRIM(Jardar!N37)&lt;&gt;"","Like langt","-")))</f>
        <v>England</v>
      </c>
      <c r="AR5" t="str">
        <f>IF(TRIM(Jardar!J38)&lt;&gt;"","Haaland",IF(TRIM(Jardar!L38)&lt;&gt;"","Sørloth",IF(TRIM(Jardar!N38)&lt;&gt;"","En annen","-")))</f>
        <v>Haaland</v>
      </c>
    </row>
    <row r="6" spans="1:44" x14ac:dyDescent="0.2">
      <c r="A6" s="114" t="s">
        <v>208</v>
      </c>
      <c r="B6">
        <f>Kari!F11</f>
        <v>2</v>
      </c>
      <c r="C6">
        <f>Kari!H11</f>
        <v>1</v>
      </c>
      <c r="D6">
        <f>Kari!F12</f>
        <v>1</v>
      </c>
      <c r="E6">
        <f>Kari!H12</f>
        <v>1</v>
      </c>
      <c r="F6">
        <f>Kari!F13</f>
        <v>3</v>
      </c>
      <c r="G6">
        <f>Kari!H13</f>
        <v>0</v>
      </c>
      <c r="H6">
        <f>Kari!F14</f>
        <v>2</v>
      </c>
      <c r="I6">
        <f>Kari!H14</f>
        <v>1</v>
      </c>
      <c r="J6">
        <f>Kari!F15</f>
        <v>1</v>
      </c>
      <c r="K6">
        <f>Kari!H15</f>
        <v>1</v>
      </c>
      <c r="L6">
        <f>Kari!F16</f>
        <v>2</v>
      </c>
      <c r="M6">
        <f>Kari!H16</f>
        <v>0</v>
      </c>
      <c r="N6">
        <f>Kari!F17</f>
        <v>1</v>
      </c>
      <c r="O6">
        <f>Kari!H17</f>
        <v>1</v>
      </c>
      <c r="P6">
        <f>Kari!F18</f>
        <v>0</v>
      </c>
      <c r="Q6">
        <f>Kari!H18</f>
        <v>1</v>
      </c>
      <c r="R6">
        <f>Kari!F19</f>
        <v>1</v>
      </c>
      <c r="S6">
        <f>Kari!H19</f>
        <v>3</v>
      </c>
      <c r="T6">
        <f>Kari!F20</f>
        <v>0</v>
      </c>
      <c r="U6">
        <f>Kari!H20</f>
        <v>2</v>
      </c>
      <c r="V6" t="str">
        <f>IF(B6&gt;C6,"H",IF(B6&lt;C6,"B","U"))</f>
        <v>H</v>
      </c>
      <c r="W6" t="str">
        <f>IF(D6&gt;E6,"H",IF(D6&lt;E6,"B","U"))</f>
        <v>U</v>
      </c>
      <c r="X6" t="str">
        <f>IF(F6&gt;G6,"H",IF(F6&lt;G6,"B","U"))</f>
        <v>H</v>
      </c>
      <c r="Y6" t="str">
        <f>IF(H6&gt;I6,"H",IF(H6&lt;I6,"B","U"))</f>
        <v>H</v>
      </c>
      <c r="Z6" t="str">
        <f>IF(J6&gt;K6,"H",IF(J6&lt;K6,"B","U"))</f>
        <v>U</v>
      </c>
      <c r="AA6" t="str">
        <f>IF(L6&gt;M6,"H",IF(L6&lt;M6,"B","U"))</f>
        <v>H</v>
      </c>
      <c r="AB6" t="str">
        <f>IF(N6&gt;O6,"H",IF(N6&lt;O6,"B","U"))</f>
        <v>U</v>
      </c>
      <c r="AC6" t="str">
        <f>IF(P6&gt;Q6,"H",IF(P6&lt;Q6,"B","U"))</f>
        <v>B</v>
      </c>
      <c r="AD6" t="str">
        <f>IF(R6&gt;S6,"H",IF(R6&lt;S6,"B","U"))</f>
        <v>B</v>
      </c>
      <c r="AE6" t="str">
        <f>IF(T6&gt;U6,"H",IF(T6&lt;U6,"B","U"))</f>
        <v>B</v>
      </c>
      <c r="AF6" t="str">
        <f>Kari!C23</f>
        <v>Mexico</v>
      </c>
      <c r="AG6" t="str">
        <f>Kari!C24</f>
        <v>Sveits</v>
      </c>
      <c r="AH6" t="str">
        <f>IF(LOWER(LEFT(TRIM(Kari!C25),1))="j","Ja","Nei")</f>
        <v>Ja</v>
      </c>
      <c r="AI6" t="str">
        <f>Kari!C26</f>
        <v>Tyrkia</v>
      </c>
      <c r="AJ6" t="str">
        <f>Kari!C27</f>
        <v>Nederland</v>
      </c>
      <c r="AK6" t="str">
        <f>Kari!C28</f>
        <v>Belgia</v>
      </c>
      <c r="AL6" t="str">
        <f>Kari!C29</f>
        <v>Norge</v>
      </c>
      <c r="AM6" t="str">
        <f>IF(LOWER(LEFT(TRIM(Kari!C30),1))="j","Ja","Nei")</f>
        <v>Nei</v>
      </c>
      <c r="AN6" t="str">
        <f>IF(LOWER(LEFT(TRIM(Kari!F34),1))="j","Ja","Nei")</f>
        <v>Nei</v>
      </c>
      <c r="AO6" t="str">
        <f>IF(LOWER(LEFT(TRIM(Kari!F35),1))="j","Ja","Nei")</f>
        <v>Ja</v>
      </c>
      <c r="AP6" t="str">
        <f>IF(LOWER(LEFT(TRIM(Kari!F36),1))="j","Ja","Nei")</f>
        <v>Nei</v>
      </c>
      <c r="AQ6" t="str">
        <f>IF(TRIM(Kari!J37)&lt;&gt;"","Norge",IF(TRIM(Kari!L37)&lt;&gt;"","England",IF(TRIM(Kari!N37)&lt;&gt;"","Like langt","-")))</f>
        <v>-</v>
      </c>
      <c r="AR6" t="str">
        <f>IF(TRIM(Kari!J38)&lt;&gt;"","Haaland",IF(TRIM(Kari!L38)&lt;&gt;"","Sørloth",IF(TRIM(Kari!N38)&lt;&gt;"","En annen","-")))</f>
        <v>Haaland</v>
      </c>
    </row>
    <row r="7" spans="1:44" x14ac:dyDescent="0.2">
      <c r="A7" s="114" t="s">
        <v>209</v>
      </c>
      <c r="B7">
        <f>Knut!F11</f>
        <v>1</v>
      </c>
      <c r="C7">
        <f>Knut!H11</f>
        <v>0</v>
      </c>
      <c r="D7">
        <f>Knut!F12</f>
        <v>2</v>
      </c>
      <c r="E7">
        <f>Knut!H12</f>
        <v>1</v>
      </c>
      <c r="F7">
        <f>Knut!F13</f>
        <v>1</v>
      </c>
      <c r="G7">
        <f>Knut!H13</f>
        <v>1</v>
      </c>
      <c r="H7">
        <f>Knut!F14</f>
        <v>0</v>
      </c>
      <c r="I7">
        <f>Knut!H14</f>
        <v>1</v>
      </c>
      <c r="J7">
        <f>Knut!F15</f>
        <v>3</v>
      </c>
      <c r="K7">
        <f>Knut!H15</f>
        <v>0</v>
      </c>
      <c r="L7">
        <f>Knut!F16</f>
        <v>2</v>
      </c>
      <c r="M7">
        <f>Knut!H16</f>
        <v>1</v>
      </c>
      <c r="N7">
        <f>Knut!F17</f>
        <v>2</v>
      </c>
      <c r="O7">
        <f>Knut!H17</f>
        <v>2</v>
      </c>
      <c r="P7">
        <f>Knut!F18</f>
        <v>0</v>
      </c>
      <c r="Q7">
        <f>Knut!H18</f>
        <v>1</v>
      </c>
      <c r="R7">
        <f>Knut!F19</f>
        <v>1</v>
      </c>
      <c r="S7">
        <f>Knut!H19</f>
        <v>3</v>
      </c>
      <c r="T7">
        <f>Knut!F20</f>
        <v>0</v>
      </c>
      <c r="U7">
        <f>Knut!H20</f>
        <v>0</v>
      </c>
      <c r="V7" t="str">
        <f>IF(B7&gt;C7,"H",IF(B7&lt;C7,"B","U"))</f>
        <v>H</v>
      </c>
      <c r="W7" t="str">
        <f>IF(D7&gt;E7,"H",IF(D7&lt;E7,"B","U"))</f>
        <v>H</v>
      </c>
      <c r="X7" t="str">
        <f>IF(F7&gt;G7,"H",IF(F7&lt;G7,"B","U"))</f>
        <v>U</v>
      </c>
      <c r="Y7" t="str">
        <f>IF(H7&gt;I7,"H",IF(H7&lt;I7,"B","U"))</f>
        <v>B</v>
      </c>
      <c r="Z7" t="str">
        <f>IF(J7&gt;K7,"H",IF(J7&lt;K7,"B","U"))</f>
        <v>H</v>
      </c>
      <c r="AA7" t="str">
        <f>IF(L7&gt;M7,"H",IF(L7&lt;M7,"B","U"))</f>
        <v>H</v>
      </c>
      <c r="AB7" t="str">
        <f>IF(N7&gt;O7,"H",IF(N7&lt;O7,"B","U"))</f>
        <v>U</v>
      </c>
      <c r="AC7" t="str">
        <f>IF(P7&gt;Q7,"H",IF(P7&lt;Q7,"B","U"))</f>
        <v>B</v>
      </c>
      <c r="AD7" t="str">
        <f>IF(R7&gt;S7,"H",IF(R7&lt;S7,"B","U"))</f>
        <v>B</v>
      </c>
      <c r="AE7" t="str">
        <f>IF(T7&gt;U7,"H",IF(T7&lt;U7,"B","U"))</f>
        <v>U</v>
      </c>
      <c r="AF7" t="str">
        <f>Knut!C23</f>
        <v>Sør-Korea</v>
      </c>
      <c r="AG7" t="str">
        <f>Knut!C24</f>
        <v>Canada</v>
      </c>
      <c r="AH7" t="str">
        <f>IF(LOWER(LEFT(TRIM(Knut!C25),1))="j","Ja","Nei")</f>
        <v>Ja</v>
      </c>
      <c r="AI7" t="str">
        <f>Knut!C26</f>
        <v>Tyrkia</v>
      </c>
      <c r="AJ7" t="str">
        <f>Knut!C27</f>
        <v>Nederland</v>
      </c>
      <c r="AK7" t="str">
        <f>Knut!C28</f>
        <v>Belgia</v>
      </c>
      <c r="AL7" t="str">
        <f>Knut!C29</f>
        <v>Norge</v>
      </c>
      <c r="AM7" t="str">
        <f>IF(LOWER(LEFT(TRIM(Knut!C30),1))="j","Ja","Nei")</f>
        <v>Nei</v>
      </c>
      <c r="AN7" t="str">
        <f>IF(LOWER(LEFT(TRIM(Knut!F34),1))="j","Ja","Nei")</f>
        <v>Nei</v>
      </c>
      <c r="AO7" t="str">
        <f>IF(LOWER(LEFT(TRIM(Knut!F35),1))="j","Ja","Nei")</f>
        <v>Ja</v>
      </c>
      <c r="AP7" t="str">
        <f>IF(LOWER(LEFT(TRIM(Knut!F36),1))="j","Ja","Nei")</f>
        <v>Ja</v>
      </c>
      <c r="AQ7" t="str">
        <f>IF(TRIM(Knut!J37)&lt;&gt;"","Norge",IF(TRIM(Knut!L37)&lt;&gt;"","England",IF(TRIM(Knut!N37)&lt;&gt;"","Like langt","-")))</f>
        <v>England</v>
      </c>
      <c r="AR7" t="str">
        <f>IF(TRIM(Knut!J38)&lt;&gt;"","Haaland",IF(TRIM(Knut!L38)&lt;&gt;"","Sørloth",IF(TRIM(Knut!N38)&lt;&gt;"","En annen","-")))</f>
        <v>Sørloth</v>
      </c>
    </row>
    <row r="8" spans="1:44" x14ac:dyDescent="0.2">
      <c r="A8" s="114" t="s">
        <v>210</v>
      </c>
      <c r="B8">
        <f>'Leif Anders'!F11</f>
        <v>2</v>
      </c>
      <c r="C8">
        <f>'Leif Anders'!H11</f>
        <v>0</v>
      </c>
      <c r="D8">
        <f>'Leif Anders'!F12</f>
        <v>2</v>
      </c>
      <c r="E8">
        <f>'Leif Anders'!H12</f>
        <v>1</v>
      </c>
      <c r="F8">
        <f>'Leif Anders'!F13</f>
        <v>4</v>
      </c>
      <c r="G8">
        <f>'Leif Anders'!H13</f>
        <v>0</v>
      </c>
      <c r="H8">
        <f>'Leif Anders'!F14</f>
        <v>3</v>
      </c>
      <c r="I8">
        <f>'Leif Anders'!H14</f>
        <v>1</v>
      </c>
      <c r="J8">
        <f>'Leif Anders'!F15</f>
        <v>1</v>
      </c>
      <c r="K8">
        <f>'Leif Anders'!H15</f>
        <v>0</v>
      </c>
      <c r="L8">
        <f>'Leif Anders'!F16</f>
        <v>2</v>
      </c>
      <c r="M8">
        <f>'Leif Anders'!H16</f>
        <v>1</v>
      </c>
      <c r="N8">
        <f>'Leif Anders'!F17</f>
        <v>1</v>
      </c>
      <c r="O8">
        <f>'Leif Anders'!H17</f>
        <v>1</v>
      </c>
      <c r="P8">
        <f>'Leif Anders'!F18</f>
        <v>0</v>
      </c>
      <c r="Q8">
        <f>'Leif Anders'!H18</f>
        <v>1</v>
      </c>
      <c r="R8">
        <f>'Leif Anders'!F19</f>
        <v>1</v>
      </c>
      <c r="S8">
        <f>'Leif Anders'!H19</f>
        <v>3</v>
      </c>
      <c r="T8">
        <f>'Leif Anders'!F20</f>
        <v>0</v>
      </c>
      <c r="U8">
        <f>'Leif Anders'!H20</f>
        <v>1</v>
      </c>
      <c r="V8" t="str">
        <f>IF(B8&gt;C8,"H",IF(B8&lt;C8,"B","U"))</f>
        <v>H</v>
      </c>
      <c r="W8" t="str">
        <f>IF(D8&gt;E8,"H",IF(D8&lt;E8,"B","U"))</f>
        <v>H</v>
      </c>
      <c r="X8" t="str">
        <f>IF(F8&gt;G8,"H",IF(F8&lt;G8,"B","U"))</f>
        <v>H</v>
      </c>
      <c r="Y8" t="str">
        <f>IF(H8&gt;I8,"H",IF(H8&lt;I8,"B","U"))</f>
        <v>H</v>
      </c>
      <c r="Z8" t="str">
        <f>IF(J8&gt;K8,"H",IF(J8&lt;K8,"B","U"))</f>
        <v>H</v>
      </c>
      <c r="AA8" t="str">
        <f>IF(L8&gt;M8,"H",IF(L8&lt;M8,"B","U"))</f>
        <v>H</v>
      </c>
      <c r="AB8" t="str">
        <f>IF(N8&gt;O8,"H",IF(N8&lt;O8,"B","U"))</f>
        <v>U</v>
      </c>
      <c r="AC8" t="str">
        <f>IF(P8&gt;Q8,"H",IF(P8&lt;Q8,"B","U"))</f>
        <v>B</v>
      </c>
      <c r="AD8" t="str">
        <f>IF(R8&gt;S8,"H",IF(R8&lt;S8,"B","U"))</f>
        <v>B</v>
      </c>
      <c r="AE8" t="str">
        <f>IF(T8&gt;U8,"H",IF(T8&lt;U8,"B","U"))</f>
        <v>B</v>
      </c>
      <c r="AF8" t="str">
        <f>'Leif Anders'!C23</f>
        <v>Mexico</v>
      </c>
      <c r="AG8" t="str">
        <f>'Leif Anders'!C24</f>
        <v>Canada</v>
      </c>
      <c r="AH8" t="str">
        <f>IF(LOWER(LEFT(TRIM('Leif Anders'!C25),1))="j","Ja","Nei")</f>
        <v>Ja</v>
      </c>
      <c r="AI8" t="str">
        <f>'Leif Anders'!C26</f>
        <v>USA</v>
      </c>
      <c r="AJ8" t="str">
        <f>'Leif Anders'!C27</f>
        <v>Nederland</v>
      </c>
      <c r="AK8" t="str">
        <f>'Leif Anders'!C28</f>
        <v>Belgia</v>
      </c>
      <c r="AL8" t="str">
        <f>'Leif Anders'!C29</f>
        <v>Norge</v>
      </c>
      <c r="AM8" t="str">
        <f>IF(LOWER(LEFT(TRIM('Leif Anders'!C30),1))="j","Ja","Nei")</f>
        <v>Nei</v>
      </c>
      <c r="AN8" t="str">
        <f>IF(LOWER(LEFT(TRIM('Leif Anders'!F34),1))="j","Ja","Nei")</f>
        <v>Nei</v>
      </c>
      <c r="AO8" t="str">
        <f>IF(LOWER(LEFT(TRIM('Leif Anders'!F35),1))="j","Ja","Nei")</f>
        <v>Nei</v>
      </c>
      <c r="AP8" t="str">
        <f>IF(LOWER(LEFT(TRIM('Leif Anders'!F36),1))="j","Ja","Nei")</f>
        <v>Nei</v>
      </c>
      <c r="AQ8" t="str">
        <f>IF(TRIM('Leif Anders'!J37)&lt;&gt;"","Norge",IF(TRIM('Leif Anders'!L37)&lt;&gt;"","England",IF(TRIM('Leif Anders'!N37)&lt;&gt;"","Like langt","-")))</f>
        <v>England</v>
      </c>
      <c r="AR8" t="str">
        <f>IF(TRIM('Leif Anders'!J38)&lt;&gt;"","Haaland",IF(TRIM('Leif Anders'!L38)&lt;&gt;"","Sørloth",IF(TRIM('Leif Anders'!N38)&lt;&gt;"","En annen","-")))</f>
        <v>Haaland</v>
      </c>
    </row>
    <row r="9" spans="1:44" x14ac:dyDescent="0.2">
      <c r="A9" s="114" t="s">
        <v>211</v>
      </c>
      <c r="B9">
        <f>Magnus!F11</f>
        <v>2</v>
      </c>
      <c r="C9">
        <f>Magnus!H11</f>
        <v>0</v>
      </c>
      <c r="D9">
        <f>Magnus!F12</f>
        <v>2</v>
      </c>
      <c r="E9">
        <f>Magnus!H12</f>
        <v>1</v>
      </c>
      <c r="F9">
        <f>Magnus!F13</f>
        <v>3</v>
      </c>
      <c r="G9">
        <f>Magnus!H13</f>
        <v>0</v>
      </c>
      <c r="H9">
        <f>Magnus!F14</f>
        <v>2</v>
      </c>
      <c r="I9">
        <f>Magnus!H14</f>
        <v>0</v>
      </c>
      <c r="J9">
        <f>Magnus!F15</f>
        <v>2</v>
      </c>
      <c r="K9">
        <f>Magnus!H15</f>
        <v>1</v>
      </c>
      <c r="L9">
        <f>Magnus!F16</f>
        <v>2</v>
      </c>
      <c r="M9">
        <f>Magnus!H16</f>
        <v>0</v>
      </c>
      <c r="N9">
        <f>Magnus!F17</f>
        <v>2</v>
      </c>
      <c r="O9">
        <f>Magnus!H17</f>
        <v>1</v>
      </c>
      <c r="P9">
        <f>Magnus!F18</f>
        <v>0</v>
      </c>
      <c r="Q9">
        <f>Magnus!H18</f>
        <v>1</v>
      </c>
      <c r="R9">
        <f>Magnus!F19</f>
        <v>1</v>
      </c>
      <c r="S9">
        <f>Magnus!H19</f>
        <v>2</v>
      </c>
      <c r="T9">
        <f>Magnus!F20</f>
        <v>1</v>
      </c>
      <c r="U9">
        <f>Magnus!H20</f>
        <v>2</v>
      </c>
      <c r="V9" t="str">
        <f>IF(B9&gt;C9,"H",IF(B9&lt;C9,"B","U"))</f>
        <v>H</v>
      </c>
      <c r="W9" t="str">
        <f>IF(D9&gt;E9,"H",IF(D9&lt;E9,"B","U"))</f>
        <v>H</v>
      </c>
      <c r="X9" t="str">
        <f>IF(F9&gt;G9,"H",IF(F9&lt;G9,"B","U"))</f>
        <v>H</v>
      </c>
      <c r="Y9" t="str">
        <f>IF(H9&gt;I9,"H",IF(H9&lt;I9,"B","U"))</f>
        <v>H</v>
      </c>
      <c r="Z9" t="str">
        <f>IF(J9&gt;K9,"H",IF(J9&lt;K9,"B","U"))</f>
        <v>H</v>
      </c>
      <c r="AA9" t="str">
        <f>IF(L9&gt;M9,"H",IF(L9&lt;M9,"B","U"))</f>
        <v>H</v>
      </c>
      <c r="AB9" t="str">
        <f>IF(N9&gt;O9,"H",IF(N9&lt;O9,"B","U"))</f>
        <v>H</v>
      </c>
      <c r="AC9" t="str">
        <f>IF(P9&gt;Q9,"H",IF(P9&lt;Q9,"B","U"))</f>
        <v>B</v>
      </c>
      <c r="AD9" t="str">
        <f>IF(R9&gt;S9,"H",IF(R9&lt;S9,"B","U"))</f>
        <v>B</v>
      </c>
      <c r="AE9" t="str">
        <f>IF(T9&gt;U9,"H",IF(T9&lt;U9,"B","U"))</f>
        <v>B</v>
      </c>
      <c r="AF9" t="str">
        <f>Magnus!C23</f>
        <v>Mexico</v>
      </c>
      <c r="AG9" t="str">
        <f>Magnus!C24</f>
        <v>Canada</v>
      </c>
      <c r="AH9" t="str">
        <f>IF(LOWER(LEFT(TRIM(Magnus!C25),1))="j","Ja","Nei")</f>
        <v>Ja</v>
      </c>
      <c r="AI9" t="str">
        <f>Magnus!C26</f>
        <v>USA</v>
      </c>
      <c r="AJ9" t="str">
        <f>Magnus!C27</f>
        <v>Nederland</v>
      </c>
      <c r="AK9" t="str">
        <f>Magnus!C28</f>
        <v>Belgia</v>
      </c>
      <c r="AL9" t="str">
        <f>Magnus!C29</f>
        <v>Norge</v>
      </c>
      <c r="AM9" t="str">
        <f>IF(LOWER(LEFT(TRIM(Magnus!C30),1))="j","Ja","Nei")</f>
        <v>Nei</v>
      </c>
      <c r="AN9" t="str">
        <f>IF(LOWER(LEFT(TRIM(Magnus!F34),1))="j","Ja","Nei")</f>
        <v>Ja</v>
      </c>
      <c r="AO9" t="str">
        <f>IF(LOWER(LEFT(TRIM(Magnus!F35),1))="j","Ja","Nei")</f>
        <v>Ja</v>
      </c>
      <c r="AP9" t="str">
        <f>IF(LOWER(LEFT(TRIM(Magnus!F36),1))="j","Ja","Nei")</f>
        <v>Nei</v>
      </c>
      <c r="AQ9" t="str">
        <f>IF(TRIM(Magnus!J37)&lt;&gt;"","Norge",IF(TRIM(Magnus!L37)&lt;&gt;"","England",IF(TRIM(Magnus!N37)&lt;&gt;"","Like langt","-")))</f>
        <v>England</v>
      </c>
      <c r="AR9" t="str">
        <f>IF(TRIM(Magnus!J38)&lt;&gt;"","Haaland",IF(TRIM(Magnus!L38)&lt;&gt;"","Sørloth",IF(TRIM(Magnus!N38)&lt;&gt;"","En annen","-")))</f>
        <v>Haaland</v>
      </c>
    </row>
    <row r="10" spans="1:44" x14ac:dyDescent="0.2">
      <c r="A10" s="114" t="s">
        <v>212</v>
      </c>
      <c r="B10">
        <f>Malin!F11</f>
        <v>2</v>
      </c>
      <c r="C10">
        <f>Malin!H11</f>
        <v>0</v>
      </c>
      <c r="D10">
        <f>Malin!F12</f>
        <v>1</v>
      </c>
      <c r="E10">
        <f>Malin!H12</f>
        <v>0</v>
      </c>
      <c r="F10">
        <f>Malin!F13</f>
        <v>3</v>
      </c>
      <c r="G10">
        <f>Malin!H13</f>
        <v>0</v>
      </c>
      <c r="H10">
        <f>Malin!F14</f>
        <v>2</v>
      </c>
      <c r="I10">
        <f>Malin!H14</f>
        <v>0</v>
      </c>
      <c r="J10">
        <f>Malin!F15</f>
        <v>2</v>
      </c>
      <c r="K10">
        <f>Malin!H15</f>
        <v>1</v>
      </c>
      <c r="L10">
        <f>Malin!F16</f>
        <v>2</v>
      </c>
      <c r="M10">
        <f>Malin!H16</f>
        <v>1</v>
      </c>
      <c r="N10">
        <f>Malin!F17</f>
        <v>2</v>
      </c>
      <c r="O10">
        <f>Malin!H17</f>
        <v>0</v>
      </c>
      <c r="P10">
        <f>Malin!F18</f>
        <v>0</v>
      </c>
      <c r="Q10">
        <f>Malin!H18</f>
        <v>2</v>
      </c>
      <c r="R10">
        <f>Malin!F19</f>
        <v>1</v>
      </c>
      <c r="S10">
        <f>Malin!H19</f>
        <v>2</v>
      </c>
      <c r="T10">
        <f>Malin!F20</f>
        <v>1</v>
      </c>
      <c r="U10">
        <f>Malin!H20</f>
        <v>2</v>
      </c>
      <c r="V10" t="str">
        <f>IF(B10&gt;C10,"H",IF(B10&lt;C10,"B","U"))</f>
        <v>H</v>
      </c>
      <c r="W10" t="str">
        <f>IF(D10&gt;E10,"H",IF(D10&lt;E10,"B","U"))</f>
        <v>H</v>
      </c>
      <c r="X10" t="str">
        <f>IF(F10&gt;G10,"H",IF(F10&lt;G10,"B","U"))</f>
        <v>H</v>
      </c>
      <c r="Y10" t="str">
        <f>IF(H10&gt;I10,"H",IF(H10&lt;I10,"B","U"))</f>
        <v>H</v>
      </c>
      <c r="Z10" t="str">
        <f>IF(J10&gt;K10,"H",IF(J10&lt;K10,"B","U"))</f>
        <v>H</v>
      </c>
      <c r="AA10" t="str">
        <f>IF(L10&gt;M10,"H",IF(L10&lt;M10,"B","U"))</f>
        <v>H</v>
      </c>
      <c r="AB10" t="str">
        <f>IF(N10&gt;O10,"H",IF(N10&lt;O10,"B","U"))</f>
        <v>H</v>
      </c>
      <c r="AC10" t="str">
        <f>IF(P10&gt;Q10,"H",IF(P10&lt;Q10,"B","U"))</f>
        <v>B</v>
      </c>
      <c r="AD10" t="str">
        <f>IF(R10&gt;S10,"H",IF(R10&lt;S10,"B","U"))</f>
        <v>B</v>
      </c>
      <c r="AE10" t="str">
        <f>IF(T10&gt;U10,"H",IF(T10&lt;U10,"B","U"))</f>
        <v>B</v>
      </c>
      <c r="AF10" t="str">
        <f>Malin!C23</f>
        <v>Mexico</v>
      </c>
      <c r="AG10" t="str">
        <f>Malin!C24</f>
        <v>Canada</v>
      </c>
      <c r="AH10" t="str">
        <f>IF(LOWER(LEFT(TRIM(Malin!C25),1))="j","Ja","Nei")</f>
        <v>Ja</v>
      </c>
      <c r="AI10" t="str">
        <f>Malin!C26</f>
        <v>USA</v>
      </c>
      <c r="AJ10" t="str">
        <f>Malin!C27</f>
        <v>Nederland</v>
      </c>
      <c r="AK10" t="str">
        <f>Malin!C28</f>
        <v>Belgia</v>
      </c>
      <c r="AL10" t="str">
        <f>Malin!C29</f>
        <v>Norge</v>
      </c>
      <c r="AM10" t="str">
        <f>IF(LOWER(LEFT(TRIM(Malin!C30),1))="j","Ja","Nei")</f>
        <v>Nei</v>
      </c>
      <c r="AN10" t="str">
        <f>IF(LOWER(LEFT(TRIM(Malin!F34),1))="j","Ja","Nei")</f>
        <v>Nei</v>
      </c>
      <c r="AO10" t="str">
        <f>IF(LOWER(LEFT(TRIM(Malin!F35),1))="j","Ja","Nei")</f>
        <v>Ja</v>
      </c>
      <c r="AP10" t="str">
        <f>IF(LOWER(LEFT(TRIM(Malin!F36),1))="j","Ja","Nei")</f>
        <v>Nei</v>
      </c>
      <c r="AQ10" t="str">
        <f>IF(TRIM(Malin!J37)&lt;&gt;"","Norge",IF(TRIM(Malin!L37)&lt;&gt;"","England",IF(TRIM(Malin!N37)&lt;&gt;"","Like langt","-")))</f>
        <v>England</v>
      </c>
      <c r="AR10" t="str">
        <f>IF(TRIM(Malin!J38)&lt;&gt;"","Haaland",IF(TRIM(Malin!L38)&lt;&gt;"","Sørloth",IF(TRIM(Malin!N38)&lt;&gt;"","En annen","-")))</f>
        <v>Haaland</v>
      </c>
    </row>
    <row r="11" spans="1:44" x14ac:dyDescent="0.2">
      <c r="A11" s="114" t="s">
        <v>213</v>
      </c>
      <c r="B11">
        <f>Marit!F11</f>
        <v>2</v>
      </c>
      <c r="C11">
        <f>Marit!H11</f>
        <v>0</v>
      </c>
      <c r="D11">
        <f>Marit!F12</f>
        <v>2</v>
      </c>
      <c r="E11">
        <f>Marit!H12</f>
        <v>1</v>
      </c>
      <c r="F11">
        <f>Marit!F13</f>
        <v>3</v>
      </c>
      <c r="G11">
        <f>Marit!H13</f>
        <v>0</v>
      </c>
      <c r="H11">
        <f>Marit!F14</f>
        <v>3</v>
      </c>
      <c r="I11">
        <f>Marit!H14</f>
        <v>0</v>
      </c>
      <c r="J11">
        <f>Marit!F15</f>
        <v>1</v>
      </c>
      <c r="K11">
        <f>Marit!H15</f>
        <v>1</v>
      </c>
      <c r="L11">
        <f>Marit!F16</f>
        <v>1</v>
      </c>
      <c r="M11">
        <f>Marit!H16</f>
        <v>0</v>
      </c>
      <c r="N11">
        <f>Marit!F17</f>
        <v>1</v>
      </c>
      <c r="O11">
        <f>Marit!H17</f>
        <v>1</v>
      </c>
      <c r="P11">
        <f>Marit!F18</f>
        <v>1</v>
      </c>
      <c r="Q11">
        <f>Marit!H18</f>
        <v>3</v>
      </c>
      <c r="R11">
        <f>Marit!F19</f>
        <v>1</v>
      </c>
      <c r="S11">
        <f>Marit!H19</f>
        <v>2</v>
      </c>
      <c r="T11">
        <f>Marit!F20</f>
        <v>1</v>
      </c>
      <c r="U11">
        <f>Marit!H20</f>
        <v>2</v>
      </c>
      <c r="V11" t="str">
        <f>IF(B11&gt;C11,"H",IF(B11&lt;C11,"B","U"))</f>
        <v>H</v>
      </c>
      <c r="W11" t="str">
        <f>IF(D11&gt;E11,"H",IF(D11&lt;E11,"B","U"))</f>
        <v>H</v>
      </c>
      <c r="X11" t="str">
        <f>IF(F11&gt;G11,"H",IF(F11&lt;G11,"B","U"))</f>
        <v>H</v>
      </c>
      <c r="Y11" t="str">
        <f>IF(H11&gt;I11,"H",IF(H11&lt;I11,"B","U"))</f>
        <v>H</v>
      </c>
      <c r="Z11" t="str">
        <f>IF(J11&gt;K11,"H",IF(J11&lt;K11,"B","U"))</f>
        <v>U</v>
      </c>
      <c r="AA11" t="str">
        <f>IF(L11&gt;M11,"H",IF(L11&lt;M11,"B","U"))</f>
        <v>H</v>
      </c>
      <c r="AB11" t="str">
        <f>IF(N11&gt;O11,"H",IF(N11&lt;O11,"B","U"))</f>
        <v>U</v>
      </c>
      <c r="AC11" t="str">
        <f>IF(P11&gt;Q11,"H",IF(P11&lt;Q11,"B","U"))</f>
        <v>B</v>
      </c>
      <c r="AD11" t="str">
        <f>IF(R11&gt;S11,"H",IF(R11&lt;S11,"B","U"))</f>
        <v>B</v>
      </c>
      <c r="AE11" t="str">
        <f>IF(T11&gt;U11,"H",IF(T11&lt;U11,"B","U"))</f>
        <v>B</v>
      </c>
      <c r="AF11" t="str">
        <f>Marit!C23</f>
        <v>Mexico</v>
      </c>
      <c r="AG11" t="str">
        <f>Marit!C24</f>
        <v>Sveits</v>
      </c>
      <c r="AH11" t="str">
        <f>IF(LOWER(LEFT(TRIM(Marit!C25),1))="j","Ja","Nei")</f>
        <v>Ja</v>
      </c>
      <c r="AI11" t="str">
        <f>Marit!C26</f>
        <v>USA</v>
      </c>
      <c r="AJ11" t="str">
        <f>Marit!C27</f>
        <v>Nederland</v>
      </c>
      <c r="AK11" t="str">
        <f>Marit!C28</f>
        <v>Belgia</v>
      </c>
      <c r="AL11" t="str">
        <f>Marit!C29</f>
        <v>Senegal</v>
      </c>
      <c r="AM11" t="str">
        <f>IF(LOWER(LEFT(TRIM(Marit!C30),1))="j","Ja","Nei")</f>
        <v>Nei</v>
      </c>
      <c r="AN11" t="str">
        <f>IF(LOWER(LEFT(TRIM(Marit!F34),1))="j","Ja","Nei")</f>
        <v>Nei</v>
      </c>
      <c r="AO11" t="str">
        <f>IF(LOWER(LEFT(TRIM(Marit!F35),1))="j","Ja","Nei")</f>
        <v>Ja</v>
      </c>
      <c r="AP11" t="str">
        <f>IF(LOWER(LEFT(TRIM(Marit!F36),1))="j","Ja","Nei")</f>
        <v>Nei</v>
      </c>
      <c r="AQ11" t="str">
        <f>IF(TRIM(Marit!J37)&lt;&gt;"","Norge",IF(TRIM(Marit!L37)&lt;&gt;"","England",IF(TRIM(Marit!N37)&lt;&gt;"","Like langt","-")))</f>
        <v>England</v>
      </c>
      <c r="AR11" t="str">
        <f>IF(TRIM(Marit!J38)&lt;&gt;"","Haaland",IF(TRIM(Marit!L38)&lt;&gt;"","Sørloth",IF(TRIM(Marit!N38)&lt;&gt;"","En annen","-")))</f>
        <v>Haaland</v>
      </c>
    </row>
    <row r="12" spans="1:44" x14ac:dyDescent="0.2">
      <c r="A12" s="114" t="s">
        <v>214</v>
      </c>
      <c r="B12">
        <f>Trude!F11</f>
        <v>2</v>
      </c>
      <c r="C12">
        <f>Trude!H11</f>
        <v>0</v>
      </c>
      <c r="D12">
        <f>Trude!F12</f>
        <v>1</v>
      </c>
      <c r="E12">
        <f>Trude!H12</f>
        <v>1</v>
      </c>
      <c r="F12">
        <f>Trude!F13</f>
        <v>4</v>
      </c>
      <c r="G12">
        <f>Trude!H13</f>
        <v>0</v>
      </c>
      <c r="H12">
        <f>Trude!F14</f>
        <v>3</v>
      </c>
      <c r="I12">
        <f>Trude!H14</f>
        <v>1</v>
      </c>
      <c r="J12">
        <f>Trude!F15</f>
        <v>1</v>
      </c>
      <c r="K12">
        <f>Trude!H15</f>
        <v>1</v>
      </c>
      <c r="L12">
        <f>Trude!F16</f>
        <v>2</v>
      </c>
      <c r="M12">
        <f>Trude!H16</f>
        <v>0</v>
      </c>
      <c r="N12">
        <f>Trude!F17</f>
        <v>2</v>
      </c>
      <c r="O12">
        <f>Trude!H17</f>
        <v>0</v>
      </c>
      <c r="P12">
        <f>Trude!F18</f>
        <v>1</v>
      </c>
      <c r="Q12">
        <f>Trude!H18</f>
        <v>2</v>
      </c>
      <c r="R12">
        <f>Trude!F19</f>
        <v>1</v>
      </c>
      <c r="S12">
        <f>Trude!H19</f>
        <v>2</v>
      </c>
      <c r="T12">
        <f>Trude!F20</f>
        <v>1</v>
      </c>
      <c r="U12">
        <f>Trude!H20</f>
        <v>3</v>
      </c>
      <c r="V12" t="str">
        <f>IF(B12&gt;C12,"H",IF(B12&lt;C12,"B","U"))</f>
        <v>H</v>
      </c>
      <c r="W12" t="str">
        <f>IF(D12&gt;E12,"H",IF(D12&lt;E12,"B","U"))</f>
        <v>U</v>
      </c>
      <c r="X12" t="str">
        <f>IF(F12&gt;G12,"H",IF(F12&lt;G12,"B","U"))</f>
        <v>H</v>
      </c>
      <c r="Y12" t="str">
        <f>IF(H12&gt;I12,"H",IF(H12&lt;I12,"B","U"))</f>
        <v>H</v>
      </c>
      <c r="Z12" t="str">
        <f>IF(J12&gt;K12,"H",IF(J12&lt;K12,"B","U"))</f>
        <v>U</v>
      </c>
      <c r="AA12" t="str">
        <f>IF(L12&gt;M12,"H",IF(L12&lt;M12,"B","U"))</f>
        <v>H</v>
      </c>
      <c r="AB12" t="str">
        <f>IF(N12&gt;O12,"H",IF(N12&lt;O12,"B","U"))</f>
        <v>H</v>
      </c>
      <c r="AC12" t="str">
        <f>IF(P12&gt;Q12,"H",IF(P12&lt;Q12,"B","U"))</f>
        <v>B</v>
      </c>
      <c r="AD12" t="str">
        <f>IF(R12&gt;S12,"H",IF(R12&lt;S12,"B","U"))</f>
        <v>B</v>
      </c>
      <c r="AE12" t="str">
        <f>IF(T12&gt;U12,"H",IF(T12&lt;U12,"B","U"))</f>
        <v>B</v>
      </c>
      <c r="AF12" t="str">
        <f>Trude!C23</f>
        <v>Mexico</v>
      </c>
      <c r="AG12" t="str">
        <f>Trude!C24</f>
        <v>Bosnia</v>
      </c>
      <c r="AH12" t="str">
        <f>IF(LOWER(LEFT(TRIM(Trude!C25),1))="j","Ja","Nei")</f>
        <v>Nei</v>
      </c>
      <c r="AI12" t="str">
        <f>Trude!C26</f>
        <v>Tyrkia</v>
      </c>
      <c r="AJ12" t="str">
        <f>Trude!C27</f>
        <v>Nederland</v>
      </c>
      <c r="AK12" t="str">
        <f>Trude!C28</f>
        <v>Egypt</v>
      </c>
      <c r="AL12" t="str">
        <f>Trude!C29</f>
        <v>Norge</v>
      </c>
      <c r="AM12" t="str">
        <f>IF(LOWER(LEFT(TRIM(Trude!C30),1))="j","Ja","Nei")</f>
        <v>Nei</v>
      </c>
      <c r="AN12" t="str">
        <f>IF(LOWER(LEFT(TRIM(Trude!F34),1))="j","Ja","Nei")</f>
        <v>Nei</v>
      </c>
      <c r="AO12" t="str">
        <f>IF(LOWER(LEFT(TRIM(Trude!F35),1))="j","Ja","Nei")</f>
        <v>Nei</v>
      </c>
      <c r="AP12" t="str">
        <f>IF(LOWER(LEFT(TRIM(Trude!F36),1))="j","Ja","Nei")</f>
        <v>Nei</v>
      </c>
      <c r="AQ12" t="str">
        <f>IF(TRIM(Trude!J37)&lt;&gt;"","Norge",IF(TRIM(Trude!L37)&lt;&gt;"","England",IF(TRIM(Trude!N37)&lt;&gt;"","Like langt","-")))</f>
        <v>England</v>
      </c>
      <c r="AR12" t="str">
        <f>IF(TRIM(Trude!J38)&lt;&gt;"","Haaland",IF(TRIM(Trude!L38)&lt;&gt;"","Sørloth",IF(TRIM(Trude!N38)&lt;&gt;"","En annen","-")))</f>
        <v>Haaland</v>
      </c>
    </row>
    <row r="13" spans="1:44" x14ac:dyDescent="0.2">
      <c r="A13" s="114" t="s">
        <v>215</v>
      </c>
      <c r="B13">
        <f>Vidar!F11</f>
        <v>2</v>
      </c>
      <c r="C13">
        <f>Vidar!H11</f>
        <v>1</v>
      </c>
      <c r="D13">
        <f>Vidar!F12</f>
        <v>1</v>
      </c>
      <c r="E13">
        <f>Vidar!H12</f>
        <v>0</v>
      </c>
      <c r="F13">
        <f>Vidar!F13</f>
        <v>2</v>
      </c>
      <c r="G13">
        <f>Vidar!H13</f>
        <v>1</v>
      </c>
      <c r="H13">
        <f>Vidar!F14</f>
        <v>3</v>
      </c>
      <c r="I13">
        <f>Vidar!H14</f>
        <v>1</v>
      </c>
      <c r="J13">
        <f>Vidar!F15</f>
        <v>0</v>
      </c>
      <c r="K13">
        <f>Vidar!H15</f>
        <v>1</v>
      </c>
      <c r="L13">
        <f>Vidar!F16</f>
        <v>3</v>
      </c>
      <c r="M13">
        <f>Vidar!H16</f>
        <v>1</v>
      </c>
      <c r="N13">
        <f>Vidar!F17</f>
        <v>2</v>
      </c>
      <c r="O13">
        <f>Vidar!H17</f>
        <v>3</v>
      </c>
      <c r="P13">
        <f>Vidar!F18</f>
        <v>0</v>
      </c>
      <c r="Q13">
        <f>Vidar!H18</f>
        <v>3</v>
      </c>
      <c r="R13">
        <f>Vidar!F19</f>
        <v>2</v>
      </c>
      <c r="S13">
        <f>Vidar!H19</f>
        <v>3</v>
      </c>
      <c r="T13">
        <f>Vidar!F20</f>
        <v>0</v>
      </c>
      <c r="U13">
        <f>Vidar!H20</f>
        <v>1</v>
      </c>
      <c r="V13" t="str">
        <f>IF(B13&gt;C13,"H",IF(B13&lt;C13,"B","U"))</f>
        <v>H</v>
      </c>
      <c r="W13" t="str">
        <f>IF(D13&gt;E13,"H",IF(D13&lt;E13,"B","U"))</f>
        <v>H</v>
      </c>
      <c r="X13" t="str">
        <f>IF(F13&gt;G13,"H",IF(F13&lt;G13,"B","U"))</f>
        <v>H</v>
      </c>
      <c r="Y13" t="str">
        <f>IF(H13&gt;I13,"H",IF(H13&lt;I13,"B","U"))</f>
        <v>H</v>
      </c>
      <c r="Z13" t="str">
        <f>IF(J13&gt;K13,"H",IF(J13&lt;K13,"B","U"))</f>
        <v>B</v>
      </c>
      <c r="AA13" t="str">
        <f>IF(L13&gt;M13,"H",IF(L13&lt;M13,"B","U"))</f>
        <v>H</v>
      </c>
      <c r="AB13" t="str">
        <f>IF(N13&gt;O13,"H",IF(N13&lt;O13,"B","U"))</f>
        <v>B</v>
      </c>
      <c r="AC13" t="str">
        <f>IF(P13&gt;Q13,"H",IF(P13&lt;Q13,"B","U"))</f>
        <v>B</v>
      </c>
      <c r="AD13" t="str">
        <f>IF(R13&gt;S13,"H",IF(R13&lt;S13,"B","U"))</f>
        <v>B</v>
      </c>
      <c r="AE13" t="str">
        <f>IF(T13&gt;U13,"H",IF(T13&lt;U13,"B","U"))</f>
        <v>B</v>
      </c>
      <c r="AF13" t="str">
        <f>Vidar!C23</f>
        <v>Sør Korea</v>
      </c>
      <c r="AG13" t="str">
        <f>Vidar!C24</f>
        <v>Bosnia-Herceg.</v>
      </c>
      <c r="AH13" t="str">
        <f>IF(LOWER(LEFT(TRIM(Vidar!C25),1))="j","Ja","Nei")</f>
        <v>Nei</v>
      </c>
      <c r="AI13" t="str">
        <f>Vidar!C26</f>
        <v>Australia</v>
      </c>
      <c r="AJ13" t="str">
        <f>Vidar!C27</f>
        <v>Nederland</v>
      </c>
      <c r="AK13" t="str">
        <f>Vidar!C28</f>
        <v>Iran</v>
      </c>
      <c r="AL13" t="str">
        <f>Vidar!C29</f>
        <v>Senegal</v>
      </c>
      <c r="AM13" t="str">
        <f>IF(LOWER(LEFT(TRIM(Vidar!C30),1))="j","Ja","Nei")</f>
        <v>Nei</v>
      </c>
      <c r="AN13" t="str">
        <f>IF(LOWER(LEFT(TRIM(Vidar!F34),1))="j","Ja","Nei")</f>
        <v>Nei</v>
      </c>
      <c r="AO13" t="str">
        <f>IF(LOWER(LEFT(TRIM(Vidar!F35),1))="j","Ja","Nei")</f>
        <v>Ja</v>
      </c>
      <c r="AP13" t="str">
        <f>IF(LOWER(LEFT(TRIM(Vidar!F36),1))="j","Ja","Nei")</f>
        <v>Nei</v>
      </c>
      <c r="AQ13" t="str">
        <f>IF(TRIM(Vidar!J37)&lt;&gt;"","Norge",IF(TRIM(Vidar!L37)&lt;&gt;"","England",IF(TRIM(Vidar!N37)&lt;&gt;"","Like langt","-")))</f>
        <v>England</v>
      </c>
      <c r="AR13" t="str">
        <f>IF(TRIM(Vidar!J38)&lt;&gt;"","Haaland",IF(TRIM(Vidar!L38)&lt;&gt;"","Sørloth",IF(TRIM(Vidar!N38)&lt;&gt;"","En annen","-")))</f>
        <v>Haaland</v>
      </c>
    </row>
    <row r="14" spans="1:44" x14ac:dyDescent="0.2">
      <c r="A14" s="114" t="s">
        <v>216</v>
      </c>
      <c r="B14">
        <f>Øystein!F11</f>
        <v>3</v>
      </c>
      <c r="C14">
        <f>Øystein!H11</f>
        <v>1</v>
      </c>
      <c r="D14">
        <f>Øystein!F12</f>
        <v>0</v>
      </c>
      <c r="E14">
        <f>Øystein!H12</f>
        <v>0</v>
      </c>
      <c r="F14">
        <f>Øystein!F13</f>
        <v>4</v>
      </c>
      <c r="G14">
        <f>Øystein!H13</f>
        <v>0</v>
      </c>
      <c r="H14">
        <f>Øystein!F14</f>
        <v>1</v>
      </c>
      <c r="I14">
        <f>Øystein!H14</f>
        <v>0</v>
      </c>
      <c r="J14">
        <f>Øystein!F15</f>
        <v>2</v>
      </c>
      <c r="K14">
        <f>Øystein!H15</f>
        <v>0</v>
      </c>
      <c r="L14">
        <f>Øystein!F16</f>
        <v>1</v>
      </c>
      <c r="M14">
        <f>Øystein!H16</f>
        <v>1</v>
      </c>
      <c r="N14">
        <f>Øystein!F17</f>
        <v>2</v>
      </c>
      <c r="O14">
        <f>Øystein!H17</f>
        <v>2</v>
      </c>
      <c r="P14">
        <f>Øystein!F18</f>
        <v>1</v>
      </c>
      <c r="Q14">
        <f>Øystein!H18</f>
        <v>2</v>
      </c>
      <c r="R14">
        <f>Øystein!F19</f>
        <v>0</v>
      </c>
      <c r="S14">
        <f>Øystein!H19</f>
        <v>3</v>
      </c>
      <c r="T14">
        <f>Øystein!F20</f>
        <v>0</v>
      </c>
      <c r="U14">
        <f>Øystein!H20</f>
        <v>3</v>
      </c>
      <c r="V14" t="str">
        <f>IF(B14&gt;C14,"H",IF(B14&lt;C14,"B","U"))</f>
        <v>H</v>
      </c>
      <c r="W14" t="str">
        <f>IF(D14&gt;E14,"H",IF(D14&lt;E14,"B","U"))</f>
        <v>U</v>
      </c>
      <c r="X14" t="str">
        <f>IF(F14&gt;G14,"H",IF(F14&lt;G14,"B","U"))</f>
        <v>H</v>
      </c>
      <c r="Y14" t="str">
        <f>IF(H14&gt;I14,"H",IF(H14&lt;I14,"B","U"))</f>
        <v>H</v>
      </c>
      <c r="Z14" t="str">
        <f>IF(J14&gt;K14,"H",IF(J14&lt;K14,"B","U"))</f>
        <v>H</v>
      </c>
      <c r="AA14" t="str">
        <f>IF(L14&gt;M14,"H",IF(L14&lt;M14,"B","U"))</f>
        <v>U</v>
      </c>
      <c r="AB14" t="str">
        <f>IF(N14&gt;O14,"H",IF(N14&lt;O14,"B","U"))</f>
        <v>U</v>
      </c>
      <c r="AC14" t="str">
        <f>IF(P14&gt;Q14,"H",IF(P14&lt;Q14,"B","U"))</f>
        <v>B</v>
      </c>
      <c r="AD14" t="str">
        <f>IF(R14&gt;S14,"H",IF(R14&lt;S14,"B","U"))</f>
        <v>B</v>
      </c>
      <c r="AE14" t="str">
        <f>IF(T14&gt;U14,"H",IF(T14&lt;U14,"B","U"))</f>
        <v>B</v>
      </c>
      <c r="AF14" t="str">
        <f>Øystein!C23</f>
        <v>Sør-Korea</v>
      </c>
      <c r="AG14" t="str">
        <f>Øystein!C24</f>
        <v>Canada</v>
      </c>
      <c r="AH14" t="str">
        <f>IF(LOWER(LEFT(TRIM(Øystein!C25),1))="j","Ja","Nei")</f>
        <v>Nei</v>
      </c>
      <c r="AI14" t="str">
        <f>Øystein!C26</f>
        <v>USA</v>
      </c>
      <c r="AJ14" t="str">
        <f>Øystein!C27</f>
        <v>Nederland</v>
      </c>
      <c r="AK14" t="str">
        <f>Øystein!C28</f>
        <v>Belgia</v>
      </c>
      <c r="AL14" t="str">
        <f>Øystein!C29</f>
        <v>Senegal</v>
      </c>
      <c r="AM14" t="str">
        <f>IF(LOWER(LEFT(TRIM(Øystein!C30),1))="j","Ja","Nei")</f>
        <v>Nei</v>
      </c>
      <c r="AN14" t="str">
        <f>IF(LOWER(LEFT(TRIM(Øystein!F34),1))="j","Ja","Nei")</f>
        <v>Nei</v>
      </c>
      <c r="AO14" t="str">
        <f>IF(LOWER(LEFT(TRIM(Øystein!F35),1))="j","Ja","Nei")</f>
        <v>Ja</v>
      </c>
      <c r="AP14" t="str">
        <f>IF(LOWER(LEFT(TRIM(Øystein!F36),1))="j","Ja","Nei")</f>
        <v>Ja</v>
      </c>
      <c r="AQ14" t="str">
        <f>IF(TRIM(Øystein!J37)&lt;&gt;"","Norge",IF(TRIM(Øystein!L37)&lt;&gt;"","England",IF(TRIM(Øystein!N37)&lt;&gt;"","Like langt","-")))</f>
        <v>England</v>
      </c>
      <c r="AR14" t="str">
        <f>IF(TRIM(Øystein!J38)&lt;&gt;"","Haaland",IF(TRIM(Øystein!L38)&lt;&gt;"","Sørloth",IF(TRIM(Øystein!N38)&lt;&gt;"","En annen","-")))</f>
        <v>Sørloth</v>
      </c>
    </row>
    <row r="15" spans="1:44" x14ac:dyDescent="0.2">
      <c r="A15" s="114" t="s">
        <v>217</v>
      </c>
      <c r="B15">
        <f>Ådne!F11</f>
        <v>2</v>
      </c>
      <c r="C15">
        <f>Ådne!H11</f>
        <v>1</v>
      </c>
      <c r="D15">
        <f>Ådne!F12</f>
        <v>2</v>
      </c>
      <c r="E15">
        <f>Ådne!H12</f>
        <v>1</v>
      </c>
      <c r="F15">
        <f>Ådne!F13</f>
        <v>3</v>
      </c>
      <c r="G15">
        <f>Ådne!H13</f>
        <v>0</v>
      </c>
      <c r="H15">
        <f>Ådne!F14</f>
        <v>2</v>
      </c>
      <c r="I15">
        <f>Ådne!H14</f>
        <v>1</v>
      </c>
      <c r="J15">
        <f>Ådne!F15</f>
        <v>2</v>
      </c>
      <c r="K15">
        <f>Ådne!H15</f>
        <v>1</v>
      </c>
      <c r="L15">
        <f>Ådne!F16</f>
        <v>3</v>
      </c>
      <c r="M15">
        <f>Ådne!H16</f>
        <v>1</v>
      </c>
      <c r="N15">
        <f>Ådne!F17</f>
        <v>2</v>
      </c>
      <c r="O15">
        <f>Ådne!H17</f>
        <v>1</v>
      </c>
      <c r="P15">
        <f>Ådne!F18</f>
        <v>1</v>
      </c>
      <c r="Q15">
        <f>Ådne!H18</f>
        <v>3</v>
      </c>
      <c r="R15">
        <f>Ådne!F19</f>
        <v>1</v>
      </c>
      <c r="S15">
        <f>Ådne!H19</f>
        <v>3</v>
      </c>
      <c r="T15">
        <f>Ådne!F20</f>
        <v>2</v>
      </c>
      <c r="U15">
        <f>Ådne!H20</f>
        <v>3</v>
      </c>
      <c r="V15" t="str">
        <f>IF(B15&gt;C15,"H",IF(B15&lt;C15,"B","U"))</f>
        <v>H</v>
      </c>
      <c r="W15" t="str">
        <f>IF(D15&gt;E15,"H",IF(D15&lt;E15,"B","U"))</f>
        <v>H</v>
      </c>
      <c r="X15" t="str">
        <f>IF(F15&gt;G15,"H",IF(F15&lt;G15,"B","U"))</f>
        <v>H</v>
      </c>
      <c r="Y15" t="str">
        <f>IF(H15&gt;I15,"H",IF(H15&lt;I15,"B","U"))</f>
        <v>H</v>
      </c>
      <c r="Z15" t="str">
        <f>IF(J15&gt;K15,"H",IF(J15&lt;K15,"B","U"))</f>
        <v>H</v>
      </c>
      <c r="AA15" t="str">
        <f>IF(L15&gt;M15,"H",IF(L15&lt;M15,"B","U"))</f>
        <v>H</v>
      </c>
      <c r="AB15" t="str">
        <f>IF(N15&gt;O15,"H",IF(N15&lt;O15,"B","U"))</f>
        <v>H</v>
      </c>
      <c r="AC15" t="str">
        <f>IF(P15&gt;Q15,"H",IF(P15&lt;Q15,"B","U"))</f>
        <v>B</v>
      </c>
      <c r="AD15" t="str">
        <f>IF(R15&gt;S15,"H",IF(R15&lt;S15,"B","U"))</f>
        <v>B</v>
      </c>
      <c r="AE15" t="str">
        <f>IF(T15&gt;U15,"H",IF(T15&lt;U15,"B","U"))</f>
        <v>B</v>
      </c>
      <c r="AF15" t="str">
        <f>Ådne!C23</f>
        <v>Mexico</v>
      </c>
      <c r="AG15" t="str">
        <f>Ådne!C24</f>
        <v>Canada</v>
      </c>
      <c r="AH15" t="str">
        <f>IF(LOWER(LEFT(TRIM(Ådne!C25),1))="j","Ja","Nei")</f>
        <v>Nei</v>
      </c>
      <c r="AI15" t="str">
        <f>Ådne!C26</f>
        <v>USA</v>
      </c>
      <c r="AJ15" t="str">
        <f>Ådne!C27</f>
        <v>Nederland</v>
      </c>
      <c r="AK15" t="str">
        <f>Ådne!C28</f>
        <v>Belgia</v>
      </c>
      <c r="AL15" t="str">
        <f>Ådne!C29</f>
        <v>Norge</v>
      </c>
      <c r="AM15" t="str">
        <f>IF(LOWER(LEFT(TRIM(Ådne!C30),1))="j","Ja","Nei")</f>
        <v>Nei</v>
      </c>
      <c r="AN15" t="str">
        <f>IF(LOWER(LEFT(TRIM(Ådne!F34),1))="j","Ja","Nei")</f>
        <v>Nei</v>
      </c>
      <c r="AO15" t="str">
        <f>IF(LOWER(LEFT(TRIM(Ådne!F35),1))="j","Ja","Nei")</f>
        <v>Ja</v>
      </c>
      <c r="AP15" t="str">
        <f>IF(LOWER(LEFT(TRIM(Ådne!F36),1))="j","Ja","Nei")</f>
        <v>Nei</v>
      </c>
      <c r="AQ15" t="str">
        <f>IF(TRIM(Ådne!J37)&lt;&gt;"","Norge",IF(TRIM(Ådne!L37)&lt;&gt;"","England",IF(TRIM(Ådne!N37)&lt;&gt;"","Like langt","-")))</f>
        <v>England</v>
      </c>
      <c r="AR15" t="str">
        <f>IF(TRIM(Ådne!J38)&lt;&gt;"","Haaland",IF(TRIM(Ådne!L38)&lt;&gt;"","Sørloth",IF(TRIM(Ådne!N38)&lt;&gt;"","En annen","-")))</f>
        <v>Haaland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695F6625A99243B576DADC22725BA8" ma:contentTypeVersion="13" ma:contentTypeDescription="Opprett et nytt dokument." ma:contentTypeScope="" ma:versionID="931120f6e7d4b599dde7523b09705222">
  <xsd:schema xmlns:xsd="http://www.w3.org/2001/XMLSchema" xmlns:xs="http://www.w3.org/2001/XMLSchema" xmlns:p="http://schemas.microsoft.com/office/2006/metadata/properties" xmlns:ns2="6b9fb1e6-b23e-415e-832c-cd0b571a367e" xmlns:ns3="8ae5ad45-4e29-4d1d-9321-7100209e479b" xmlns:ns4="c37c825c-96da-473f-b2f9-74acb33b3560" targetNamespace="http://schemas.microsoft.com/office/2006/metadata/properties" ma:root="true" ma:fieldsID="14a4a8a8e16a82f5c4b0ef7ec18a366c" ns2:_="" ns3:_="" ns4:_="">
    <xsd:import namespace="6b9fb1e6-b23e-415e-832c-cd0b571a367e"/>
    <xsd:import namespace="8ae5ad45-4e29-4d1d-9321-7100209e479b"/>
    <xsd:import namespace="c37c825c-96da-473f-b2f9-74acb33b3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fb1e6-b23e-415e-832c-cd0b571a3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emerkelapper" ma:readOnly="false" ma:fieldId="{5cf76f15-5ced-4ddc-b409-7134ff3c332f}" ma:taxonomyMulti="true" ma:sspId="598a948a-a94c-4e58-bc8a-0f21f01cf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5ad45-4e29-4d1d-9321-7100209e47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daad8a-d2b5-490a-a8b5-6403da4f857e}" ma:internalName="TaxCatchAll" ma:showField="CatchAllData" ma:web="c37c825c-96da-473f-b2f9-74acb33b3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c825c-96da-473f-b2f9-74acb33b356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fb1e6-b23e-415e-832c-cd0b571a367e">
      <Terms xmlns="http://schemas.microsoft.com/office/infopath/2007/PartnerControls"/>
    </lcf76f155ced4ddcb4097134ff3c332f>
    <TaxCatchAll xmlns="8ae5ad45-4e29-4d1d-9321-7100209e47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142FF5-A3F1-48F9-B7BD-B1ABB6787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fb1e6-b23e-415e-832c-cd0b571a367e"/>
    <ds:schemaRef ds:uri="8ae5ad45-4e29-4d1d-9321-7100209e479b"/>
    <ds:schemaRef ds:uri="c37c825c-96da-473f-b2f9-74acb33b3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7B4231-A664-4CCE-9D51-4FBCE2DC6332}">
  <ds:schemaRefs>
    <ds:schemaRef ds:uri="http://schemas.microsoft.com/office/2006/metadata/properties"/>
    <ds:schemaRef ds:uri="http://schemas.microsoft.com/office/infopath/2007/PartnerControls"/>
    <ds:schemaRef ds:uri="6b9fb1e6-b23e-415e-832c-cd0b571a367e"/>
    <ds:schemaRef ds:uri="8ae5ad45-4e29-4d1d-9321-7100209e479b"/>
  </ds:schemaRefs>
</ds:datastoreItem>
</file>

<file path=customXml/itemProps3.xml><?xml version="1.0" encoding="utf-8"?>
<ds:datastoreItem xmlns:ds="http://schemas.openxmlformats.org/officeDocument/2006/customXml" ds:itemID="{9E8E7BC3-D1BE-473B-B1EB-F2EBFD699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FIFA World cup 2026</vt:lpstr>
      <vt:lpstr>Sammendrag</vt:lpstr>
      <vt:lpstr>Ark1</vt:lpstr>
      <vt:lpstr>Ahilan</vt:lpstr>
      <vt:lpstr>Haakon</vt:lpstr>
      <vt:lpstr>AI</vt:lpstr>
      <vt:lpstr>Jardar</vt:lpstr>
      <vt:lpstr>Kari</vt:lpstr>
      <vt:lpstr>Knut</vt:lpstr>
      <vt:lpstr>Leif Anders</vt:lpstr>
      <vt:lpstr>Magnus</vt:lpstr>
      <vt:lpstr>Malin</vt:lpstr>
      <vt:lpstr>Marit</vt:lpstr>
      <vt:lpstr>Trude</vt:lpstr>
      <vt:lpstr>Vidar</vt:lpstr>
      <vt:lpstr>Øystein</vt:lpstr>
      <vt:lpstr>Ådne</vt:lpstr>
      <vt:lpstr>Data</vt:lpstr>
    </vt:vector>
  </TitlesOfParts>
  <Manager/>
  <Company>Kartverket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Knut Inge Bøe</dc:creator>
  <cp:keywords/>
  <dc:description/>
  <cp:lastModifiedBy>Magnus Ramm</cp:lastModifiedBy>
  <cp:revision/>
  <cp:lastPrinted>2026-05-29T12:37:25Z</cp:lastPrinted>
  <dcterms:created xsi:type="dcterms:W3CDTF">2022-11-13T20:27:48Z</dcterms:created>
  <dcterms:modified xsi:type="dcterms:W3CDTF">2026-06-11T14:28:54Z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0x01010095695F6625A99243B576DADC22725BA8</vt:lpwstr>
  </property>
</Properties>
</file>